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a391f57aa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85135e82b7a74bfa"/>
    <x:sheet xmlns:r="http://schemas.openxmlformats.org/officeDocument/2006/relationships" name="Integrantes" sheetId="2" r:id="R669c0b02513a44c1"/>
    <x:sheet xmlns:r="http://schemas.openxmlformats.org/officeDocument/2006/relationships" name="Resumo" sheetId="3" r:id="R6688d53a6ecc445c"/>
    <x:sheet xmlns:r="http://schemas.openxmlformats.org/officeDocument/2006/relationships" name="Matriz_Pesquisa" sheetId="4" r:id="Ree48396e90a148b1"/>
    <x:sheet xmlns:r="http://schemas.openxmlformats.org/officeDocument/2006/relationships" name="Tabela1_BOM" sheetId="5" r:id="R036f0252e8964561"/>
    <x:sheet xmlns:r="http://schemas.openxmlformats.org/officeDocument/2006/relationships" name="Tabela2_Processos" sheetId="6" r:id="R97adaee7007b4d9d"/>
    <x:sheet xmlns:r="http://schemas.openxmlformats.org/officeDocument/2006/relationships" name="Tabela3_Equipamentos" sheetId="7" r:id="R7c24740dd3214c3b"/>
    <x:sheet xmlns:r="http://schemas.openxmlformats.org/officeDocument/2006/relationships" name="Materiais" sheetId="8" r:id="Rabb9174219064177"/>
    <x:sheet xmlns:r="http://schemas.openxmlformats.org/officeDocument/2006/relationships" name="Capacidade" sheetId="9" r:id="R42a76359ac354209"/>
    <x:sheet xmlns:r="http://schemas.openxmlformats.org/officeDocument/2006/relationships" name="Calculo_Router" sheetId="10" r:id="Rab6205d5c34d4122"/>
    <x:sheet xmlns:r="http://schemas.openxmlformats.org/officeDocument/2006/relationships" name="Areas_Layout" sheetId="11" r:id="R59878ec52e6b4a31"/>
    <x:sheet xmlns:r="http://schemas.openxmlformats.org/officeDocument/2006/relationships" name="Formulas" sheetId="12" r:id="Rdf13f9b4207d4e05"/>
    <x:sheet xmlns:r="http://schemas.openxmlformats.org/officeDocument/2006/relationships" name="Objetivos" sheetId="13" r:id="R5909b206a2b54703"/>
    <x:sheet xmlns:r="http://schemas.openxmlformats.org/officeDocument/2006/relationships" name="Mercado" sheetId="14" r:id="R22c8e71cdf914837"/>
    <x:sheet xmlns:r="http://schemas.openxmlformats.org/officeDocument/2006/relationships" name="Conclusoes" sheetId="15" r:id="Rec91dd9ca45f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b/>
      <x:sz val="10"/>
      <x:color rgb="FF17212B"/>
      <x:name val="Arial"/>
    </x:font>
    <x:font>
      <x:sz val="10"/>
      <x:color rgb="FF1721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12B"/>
      </x:patternFill>
    </x:fill>
    <x:fill>
      <x:patternFill patternType="solid">
        <x:fgColor rgb="FFE7EEF7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734fc6eb04d4e" /><Relationship Type="http://schemas.openxmlformats.org/officeDocument/2006/relationships/theme" Target="/xl/theme/theme1.xml" Id="R6d21cc550d8c4ec6" /><Relationship Type="http://schemas.openxmlformats.org/officeDocument/2006/relationships/sharedStrings" Target="/xl/sharedStrings.xml" Id="R013de709c73b43da" /><Relationship Type="http://schemas.openxmlformats.org/officeDocument/2006/relationships/worksheet" Target="/xl/worksheets/sheet1.xml" Id="R85135e82b7a74bfa" /><Relationship Type="http://schemas.openxmlformats.org/officeDocument/2006/relationships/worksheet" Target="/xl/worksheets/sheet2.xml" Id="R669c0b02513a44c1" /><Relationship Type="http://schemas.openxmlformats.org/officeDocument/2006/relationships/worksheet" Target="/xl/worksheets/sheet3.xml" Id="R6688d53a6ecc445c" /><Relationship Type="http://schemas.openxmlformats.org/officeDocument/2006/relationships/worksheet" Target="/xl/worksheets/sheet4.xml" Id="Ree48396e90a148b1" /><Relationship Type="http://schemas.openxmlformats.org/officeDocument/2006/relationships/worksheet" Target="/xl/worksheets/sheet5.xml" Id="R036f0252e8964561" /><Relationship Type="http://schemas.openxmlformats.org/officeDocument/2006/relationships/worksheet" Target="/xl/worksheets/sheet6.xml" Id="R97adaee7007b4d9d" /><Relationship Type="http://schemas.openxmlformats.org/officeDocument/2006/relationships/worksheet" Target="/xl/worksheets/sheet7.xml" Id="R7c24740dd3214c3b" /><Relationship Type="http://schemas.openxmlformats.org/officeDocument/2006/relationships/worksheet" Target="/xl/worksheets/sheet8.xml" Id="Rabb9174219064177" /><Relationship Type="http://schemas.openxmlformats.org/officeDocument/2006/relationships/worksheet" Target="/xl/worksheets/sheet9.xml" Id="R42a76359ac354209" /><Relationship Type="http://schemas.openxmlformats.org/officeDocument/2006/relationships/worksheet" Target="/xl/worksheets/sheet10.xml" Id="Rab6205d5c34d4122" /><Relationship Type="http://schemas.openxmlformats.org/officeDocument/2006/relationships/worksheet" Target="/xl/worksheets/sheet11.xml" Id="R59878ec52e6b4a31" /><Relationship Type="http://schemas.openxmlformats.org/officeDocument/2006/relationships/worksheet" Target="/xl/worksheets/sheet12.xml" Id="Rdf13f9b4207d4e05" /><Relationship Type="http://schemas.openxmlformats.org/officeDocument/2006/relationships/worksheet" Target="/xl/worksheets/sheet13.xml" Id="R5909b206a2b54703" /><Relationship Type="http://schemas.openxmlformats.org/officeDocument/2006/relationships/worksheet" Target="/xl/worksheets/sheet14.xml" Id="R22c8e71cdf914837" /><Relationship Type="http://schemas.openxmlformats.org/officeDocument/2006/relationships/worksheet" Target="/xl/worksheets/sheet15.xml" Id="Rec91dd9ca45f45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Premissas auditaveis do projeto</x:v>
      </x:c>
      <x:c r="B1" s="4"/>
      <x:c r="C1" s="4"/>
      <x:c r="D1" s="4"/>
      <x:c r="E1" s="4"/>
    </x:row>
    <x:row r="3">
      <x:c r="A3" s="8" t="str">
        <x:v>Parametro</x:v>
      </x:c>
      <x:c r="B3" s="8" t="str">
        <x:v>Valor</x:v>
      </x:c>
      <x:c r="C3" s="8" t="str">
        <x:v>Unidade</x:v>
      </x:c>
      <x:c r="D3" s="8" t="str">
        <x:v>Origem/observacao</x:v>
      </x:c>
    </x:row>
    <x:row r="4">
      <x:c r="A4" s="12" t="str">
        <x:v>Meta semanal de produtos bons</x:v>
      </x:c>
      <x:c r="B4" s="12" t="n">
        <x:v>1000</x:v>
      </x:c>
      <x:c r="C4" s="12" t="str">
        <x:v>kits bons/semana</x:v>
      </x:c>
      <x:c r="D4" s="12" t="str">
        <x:v>Premissa de projeto</x:v>
      </x:c>
    </x:row>
    <x:row r="5">
      <x:c r="A5" s="12" t="str">
        <x:v>Rendimento final bom</x:v>
      </x:c>
      <x:c r="B5" s="12" t="n">
        <x:v>0.95</x:v>
      </x:c>
      <x:c r="C5" s="12" t="str">
        <x:v>%</x:v>
      </x:c>
      <x:c r="D5" s="12" t="str">
        <x:v>Premissa para perdas/refugos no fluxo completo</x:v>
      </x:c>
    </x:row>
    <x:row r="6">
      <x:c r="A6" s="12" t="str">
        <x:v>Dias de trabalho por semana</x:v>
      </x:c>
      <x:c r="B6" s="12" t="n">
        <x:v>5</x:v>
      </x:c>
      <x:c r="C6" s="12" t="str">
        <x:v>dias</x:v>
      </x:c>
      <x:c r="D6" s="12" t="str">
        <x:v>Premissa</x:v>
      </x:c>
    </x:row>
    <x:row r="7">
      <x:c r="A7" s="12" t="str">
        <x:v>Turnos por dia</x:v>
      </x:c>
      <x:c r="B7" s="12" t="n">
        <x:v>1</x:v>
      </x:c>
      <x:c r="C7" s="12" t="str">
        <x:v>turno</x:v>
      </x:c>
      <x:c r="D7" s="12" t="str">
        <x:v>Premissa</x:v>
      </x:c>
    </x:row>
    <x:row r="8">
      <x:c r="A8" s="12" t="str">
        <x:v>Horas programadas por turno</x:v>
      </x:c>
      <x:c r="B8" s="12" t="n">
        <x:v>8</x:v>
      </x:c>
      <x:c r="C8" s="12" t="str">
        <x:v>h</x:v>
      </x:c>
      <x:c r="D8" s="12" t="str">
        <x:v>Premissa</x:v>
      </x:c>
    </x:row>
    <x:row r="9">
      <x:c r="A9" s="12" t="str">
        <x:v>Horas uteis por turno</x:v>
      </x:c>
      <x:c r="B9" s="12" t="n">
        <x:v>7</x:v>
      </x:c>
      <x:c r="C9" s="12" t="str">
        <x:v>h</x:v>
      </x:c>
      <x:c r="D9" s="12" t="str">
        <x:v>Premissa descontando pausas/preparacoes</x:v>
      </x:c>
    </x:row>
    <x:row r="10">
      <x:c r="A10" s="12" t="str">
        <x:v>Eficiencia geral</x:v>
      </x:c>
      <x:c r="B10" s="12" t="n">
        <x:v>0.85</x:v>
      </x:c>
      <x:c r="C10" s="12" t="str">
        <x:v>%</x:v>
      </x:c>
      <x:c r="D10" s="12" t="str">
        <x:v>Premissa aplicada aos equipamentos</x:v>
      </x:c>
    </x:row>
    <x:row r="11">
      <x:c r="A11" s="12" t="str">
        <x:v>Confiabilidade dos equipamentos</x:v>
      </x:c>
      <x:c r="B11" s="12" t="n">
        <x:v>0.92</x:v>
      </x:c>
      <x:c r="C11" s="12" t="str">
        <x:v>%</x:v>
      </x:c>
      <x:c r="D11" s="12" t="str">
        <x:v>Premissa aplicada aos equipamentos</x:v>
      </x:c>
    </x:row>
    <x:row r="12">
      <x:c r="A12" s="12" t="str">
        <x:v>Rendimento padrao de processo</x:v>
      </x:c>
      <x:c r="B12" s="12" t="n">
        <x:v>0.98</x:v>
      </x:c>
      <x:c r="C12" s="12" t="str">
        <x:v>%</x:v>
      </x:c>
      <x:c r="D12" s="12" t="str">
        <x:v>Premissa aplicada aos equipamentos</x:v>
      </x:c>
    </x:row>
    <x:row r="13">
      <x:c r="A13" s="12" t="str">
        <x:v>Fator de area de servico padrao</x:v>
      </x:c>
      <x:c r="B13" s="12" t="n">
        <x:v>2</x:v>
      </x:c>
      <x:c r="C13" s="12" t="str">
        <x:v>x footprint</x:v>
      </x:c>
      <x:c r="D13" s="12" t="str">
        <x:v>Premissa de layout</x:v>
      </x:c>
    </x:row>
    <x:row r="14">
      <x:c r="A14" s="12" t="str">
        <x:v>Area total do layout</x:v>
      </x:c>
      <x:c r="B14" s="12" t="n">
        <x:v>384</x:v>
      </x:c>
      <x:c r="C14" s="12" t="str">
        <x:v>m2</x:v>
      </x:c>
      <x:c r="D14" s="12" t="str">
        <x:v>24 m x 16 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Integrantes do grupo</x:v>
      </x:c>
      <x:c r="B1" s="4"/>
      <x:c r="C1" s="4"/>
      <x:c r="D1" s="4"/>
      <x:c r="E1" s="4"/>
    </x:row>
    <x:row r="3">
      <x:c r="A3" s="8" t="str">
        <x:v>Nome</x:v>
      </x:c>
      <x:c r="B3" s="8" t="str">
        <x:v>Status</x:v>
      </x:c>
      <x:c r="C3" s="8" t="str">
        <x:v>Observacao</x:v>
      </x:c>
    </x:row>
    <x:row r="4">
      <x:c r="A4" s="12" t="str">
        <x:v>Bernardo Gomes</x:v>
      </x:c>
      <x:c r="B4" s="12" t="str">
        <x:v>confirmado</x:v>
      </x:c>
      <x:c r="C4" s="12" t="str">
        <x:v>Nome limpo a partir de 'Bernardo Gomes eg'.</x:v>
      </x:c>
    </x:row>
    <x:row r="5">
      <x:c r="A5" s="12" t="str">
        <x:v>Lucas de Mello</x:v>
      </x:c>
      <x:c r="B5" s="12" t="str">
        <x:v>confirmado</x:v>
      </x:c>
      <x:c r="C5" s="12" t="str">
        <x:v>Nome limpo a partir de 'Lucas de Mello meta'.</x:v>
      </x:c>
    </x:row>
    <x:row r="6">
      <x:c r="A6" s="12" t="str">
        <x:v>Clara Hermsdorff</x:v>
      </x:c>
      <x:c r="B6" s="12" t="str">
        <x:v>confirmado</x:v>
      </x:c>
      <x:c r="C6" s="12" t="str">
        <x:v>Nome limpo a partir da captura.</x:v>
      </x:c>
    </x:row>
    <x:row r="7">
      <x:c r="A7" s="12" t="str">
        <x:v>João Deccax</x:v>
      </x:c>
      <x:c r="B7" s="12" t="str">
        <x:v>confirmado</x:v>
      </x:c>
      <x:c r="C7" s="12" t="str">
        <x:v>Nome limpo a partir da captura.</x:v>
      </x:c>
    </x:row>
    <x:row r="8">
      <x:c r="A8" s="12" t="str">
        <x:v>André Baptista</x:v>
      </x:c>
      <x:c r="B8" s="12" t="str">
        <x:v>confirmado</x:v>
      </x:c>
      <x:c r="C8" s="12" t="str">
        <x:v>Nome limpo a partir da captura.</x:v>
      </x:c>
    </x:row>
    <x:row r="9">
      <x:c r="A9" s="12" t="str">
        <x:v>Pendente</x:v>
      </x:c>
      <x:c r="B9" s="12" t="str">
        <x:v>a confirmar</x:v>
      </x:c>
      <x:c r="C9" s="12" t="str">
        <x:v>A captura mostra um integrante como 'You'; falta substituir pelo nome real antes da entrega final.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Resumo executivo - Projeto de fabrica Tramontina 22399036</x:v>
      </x:c>
      <x:c r="B1" s="4"/>
      <x:c r="C1" s="4"/>
      <x:c r="D1" s="4"/>
      <x:c r="E1" s="4"/>
      <x:c r="F1" s="4"/>
      <x:c r="G1" s="4"/>
    </x:row>
    <x:row r="3">
      <x:c r="A3" s="8" t="str">
        <x:v>Indicador</x:v>
      </x:c>
      <x:c r="B3" s="8" t="str">
        <x:v>Valor</x:v>
      </x:c>
      <x:c r="C3" s="8" t="str">
        <x:v>Formula / leitura</x:v>
      </x:c>
    </x:row>
    <x:row r="4">
      <x:c r="A4" s="12" t="str">
        <x:v>Meta semanal de produtos bons</x:v>
      </x:c>
      <x:c r="B4" s="12" t="n">
        <x:f>Premissas!B4</x:f>
        <x:v>1000</x:v>
      </x:c>
      <x:c r="C4" s="12" t="str">
        <x:v>Premissas!B4</x:v>
      </x:c>
    </x:row>
    <x:row r="5">
      <x:c r="A5" s="12" t="str">
        <x:v>Demanda bruta para cobrir rendimento</x:v>
      </x:c>
      <x:c r="B5" s="12" t="n">
        <x:f>ROUNDUP(Premissas!B4/Premissas!B5,0)</x:f>
        <x:v>1053</x:v>
      </x:c>
      <x:c r="C5" s="12" t="str">
        <x:v>ROUNDUP(meta boa / rendimento final)</x:v>
      </x:c>
    </x:row>
    <x:row r="6">
      <x:c r="A6" s="12" t="str">
        <x:v>Horas uteis por semana</x:v>
      </x:c>
      <x:c r="B6" s="12" t="n">
        <x:f>Premissas!B6*Premissas!B7*Premissas!B9</x:f>
        <x:v>35</x:v>
      </x:c>
      <x:c r="C6" s="12" t="str">
        <x:v>dias * turnos * horas uteis</x:v>
      </x:c>
    </x:row>
    <x:row r="7">
      <x:c r="A7" s="12" t="str">
        <x:v>Ritmo medio necessario</x:v>
      </x:c>
      <x:c r="B7" s="12" t="n">
        <x:f>B5/B6</x:f>
        <x:v>30.085714285714285</x:v>
      </x:c>
      <x:c r="C7" s="12" t="str">
        <x:v>demanda bruta / horas uteis</x:v>
      </x:c>
    </x:row>
    <x:row r="8">
      <x:c r="A8" s="12" t="str">
        <x:v>Equipamento detalhado</x:v>
      </x:c>
      <x:c r="B8" s="12" t="str">
        <x:v>Maksiwa Store RTC.1313</x:v>
      </x:c>
      <x:c r="C8" s="12" t="str">
        <x:v>Selecionado por risco de gargalo e repetibilidade</x:v>
      </x:c>
    </x:row>
    <x:row r="9">
      <x:c r="A9" s="12" t="str">
        <x:v>Quantidade do equipamento detalhado</x:v>
      </x:c>
      <x:c r="B9" s="12" t="n">
        <x:f>Calculo_Router!B17</x:f>
        <x:v>2</x:v>
      </x:c>
      <x:c r="C9" s="12" t="str">
        <x:v>Calculo_Router!B17</x:v>
      </x:c>
    </x:row>
    <x:row r="10">
      <x:c r="A10" s="12" t="str">
        <x:v>Area requerida estimada</x:v>
      </x:c>
      <x:c r="B10" s="12" t="n">
        <x:f>Areas_Layout!B7</x:f>
        <x:v>260.40625</x:v>
      </x:c>
      <x:c r="C10" s="12" t="str">
        <x:v>Areas_Layout!B7</x:v>
      </x:c>
    </x:row>
    <x:row r="11">
      <x:c r="A11" s="12" t="str">
        <x:v>Area total proposta</x:v>
      </x:c>
      <x:c r="B11" s="12" t="n">
        <x:f>Areas_Layout!B8</x:f>
        <x:v>384</x:v>
      </x:c>
      <x:c r="C11" s="12" t="str">
        <x:v>Areas_Layout!B8</x:v>
      </x:c>
    </x:row>
    <x:row r="12">
      <x:c r="A12" s="12" t="str">
        <x:v>Ocupacao estimada</x:v>
      </x:c>
      <x:c r="B12" s="12" t="n">
        <x:f>Areas_Layout!B10</x:f>
        <x:v>0.6781412760416666</x:v>
      </x:c>
      <x:c r="C12" s="12" t="str">
        <x:v>Areas_Layout!B10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str">
        <x:v>Matriz de pesquisa: fato, fonte, uso e confianca</x:v>
      </x:c>
      <x:c r="B1" s="4"/>
      <x:c r="C1" s="4"/>
      <x:c r="D1" s="4"/>
      <x:c r="E1" s="4"/>
      <x:c r="F1" s="4"/>
      <x:c r="G1" s="4"/>
    </x:row>
    <x:row r="3">
      <x:c r="A3" s="8" t="str">
        <x:v>Fonte</x:v>
      </x:c>
      <x:c r="B3" s="8" t="str">
        <x:v>Fato extraido</x:v>
      </x:c>
      <x:c r="C3" s="8" t="str">
        <x:v>Uso</x:v>
      </x:c>
      <x:c r="D3" s="8" t="str">
        <x:v>Confianca</x:v>
      </x:c>
      <x:c r="E3" s="8" t="str">
        <x:v>Observacao</x:v>
      </x:c>
    </x:row>
    <x:row r="4">
      <x:c r="A4" s="12" t="str">
        <x:v>Pagina oficial Tramontina - produto 22399036</x:v>
      </x:c>
      <x:c r="B4" s="12" t="str">
        <x:v>Produto: Kit 3 pecas ref. 22399036 faca + garfo + tabua</x:v>
      </x:c>
      <x:c r="C4" s="12" t="str">
        <x:v>descricao, arvore do produto, Tabela 1</x:v>
      </x:c>
      <x:c r="D4" s="12" t="str">
        <x:v>alta</x:v>
      </x:c>
      <x:c r="E4" s="12" t="str">
        <x:v>kit</x:v>
      </x:c>
    </x:row>
    <x:row r="5">
      <x:c r="A5" s="12" t="str">
        <x:v>Pagina oficial Tramontina - produto 22399036</x:v>
      </x:c>
      <x:c r="B5" s="12" t="str">
        <x:v>Embalagem: Dimensoes com embalagem 38.9 x 4.0 x 21.6</x:v>
      </x:c>
      <x:c r="C5" s="12" t="str">
        <x:v>produto, embalagem, layout de embalagem</x:v>
      </x:c>
      <x:c r="D5" s="12" t="str">
        <x:v>alta</x:v>
      </x:c>
      <x:c r="E5" s="12" t="str">
        <x:v>cm</x:v>
      </x:c>
    </x:row>
    <x:row r="6">
      <x:c r="A6" s="12" t="str">
        <x:v>Pagina oficial Tramontina - produto 22399036</x:v>
      </x:c>
      <x:c r="B6" s="12" t="str">
        <x:v>Embalagem: Peso com embalagem 1.23</x:v>
      </x:c>
      <x:c r="C6" s="12" t="str">
        <x:v>estoque, transporte, embalagem</x:v>
      </x:c>
      <x:c r="D6" s="12" t="str">
        <x:v>alta</x:v>
      </x:c>
      <x:c r="E6" s="12" t="str">
        <x:v>kg</x:v>
      </x:c>
    </x:row>
    <x:row r="7">
      <x:c r="A7" s="12" t="str">
        <x:v>Aperam 420D - AISI 420/SUS420J1</x:v>
      </x:c>
      <x:c r="B7" s="12" t="str">
        <x:v>Material: Aco inox 420D endurecivel por tratamento termico e aplicavel a laminas de facas AISI 420/SUS420J1</x:v>
      </x:c>
      <x:c r="C7" s="12" t="str">
        <x:v>material da faca/garfo e processo termico</x:v>
      </x:c>
      <x:c r="D7" s="12" t="str">
        <x:v>media</x:v>
      </x:c>
      <x:c r="E7" s="12" t="str">
        <x:v>tipo de aco</x:v>
      </x:c>
    </x:row>
    <x:row r="8">
      <x:c r="A8" s="12" t="str">
        <x:v>Ficha tecnica AISI 420 - Rolmetais</x:v>
      </x:c>
      <x:c r="B8" s="12" t="str">
        <x:v>Material: Densidade AISI 420 7.7</x:v>
      </x:c>
      <x:c r="C8" s="12" t="str">
        <x:v>estimativa de massa de aco</x:v>
      </x:c>
      <x:c r="D8" s="12" t="str">
        <x:v>media</x:v>
      </x:c>
      <x:c r="E8" s="12" t="str">
        <x:v>g/cm3</x:v>
      </x:c>
    </x:row>
    <x:row r="9">
      <x:c r="A9" s="12" t="str">
        <x:v>Madeira Macaranduba - propriedades fisico-mecanicas</x:v>
      </x:c>
      <x:c r="B9" s="12" t="str">
        <x:v>Material: Densidade aparente Macaranduba 1.04</x:v>
      </x:c>
      <x:c r="C9" s="12" t="str">
        <x:v>estimativa de massa da tabua</x:v>
      </x:c>
      <x:c r="D9" s="12" t="str">
        <x:v>media</x:v>
      </x:c>
      <x:c r="E9" s="12" t="str">
        <x:v>g/cm3</x:v>
      </x:c>
    </x:row>
    <x:row r="10">
      <x:c r="A10" s="12" t="str">
        <x:v>Madetech CNC Fiber Pro 1530</x:v>
      </x:c>
      <x:c r="B10" s="12" t="str">
        <x:v>Equipamento: CNC laser fiber mesa 3000x1500, velocidade 20000 mm/min 1500 W; 20.000 mm/min</x:v>
      </x:c>
      <x:c r="C10" s="12" t="str">
        <x:v>Tabela 3 e corte metal</x:v>
      </x:c>
      <x:c r="D10" s="12" t="str">
        <x:v>media</x:v>
      </x:c>
      <x:c r="E10" s="12" t="str">
        <x:v>capacidade fabricante</x:v>
      </x:c>
    </x:row>
    <x:row r="11">
      <x:c r="A11" s="12" t="str">
        <x:v>Cecomatec Forno de Tratamento Termico com Carro</x:v>
      </x:c>
      <x:c r="B11" s="12" t="str">
        <x:v>Equipamento: Forno tratamento termico com camara 800x1400x900 e 1200 C 1200 C</x:v>
      </x:c>
      <x:c r="C11" s="12" t="str">
        <x:v>Tabela 3 e tratamento termico</x:v>
      </x:c>
      <x:c r="D11" s="12" t="str">
        <x:v>alta</x:v>
      </x:c>
      <x:c r="E11" s="12" t="str">
        <x:v>temperatura maxima</x:v>
      </x:c>
    </x:row>
    <x:row r="12">
      <x:c r="A12" s="12" t="str">
        <x:v>Maksiwa Store Router CNC RTC.1313</x:v>
      </x:c>
      <x:c r="B12" s="12" t="str">
        <x:v>Equipamento: Router CNC area util 1300x1300x200 e velocidade maxima 30 m/min 30 m/min</x:v>
      </x:c>
      <x:c r="C12" s="12" t="str">
        <x:v>Tabela 3 e calculo detalhado</x:v>
      </x:c>
      <x:c r="D12" s="12" t="str">
        <x:v>alta</x:v>
      </x:c>
      <x:c r="E12" s="12" t="str">
        <x:v>velocidade deslocamento</x:v>
      </x:c>
    </x:row>
    <x:row r="13">
      <x:c r="A13" s="12" t="str">
        <x:v>Rebitex Rebitadeira Pneumatica 404-S TURBO-X</x:v>
      </x:c>
      <x:c r="B13" s="12" t="str">
        <x:v>Equipamento: Rebitadeira 60 ciclos/min, capacidade ate 4 toneladas 60</x:v>
      </x:c>
      <x:c r="C13" s="12" t="str">
        <x:v>Tabela 3 e montagem</x:v>
      </x:c>
      <x:c r="D13" s="12" t="str">
        <x:v>alta</x:v>
      </x:c>
      <x:c r="E13" s="12" t="str">
        <x:v>ciclos/min</x:v>
      </x:c>
    </x:row>
    <x:row r="14">
      <x:c r="A14" s="12" t="str">
        <x:v>Flockcolor Seladora Blister tipo carrossel</x:v>
      </x:c>
      <x:c r="B14" s="12" t="str">
        <x:v>Equipamento: Seladora blister 4 prensadas/min 4</x:v>
      </x:c>
      <x:c r="C14" s="12" t="str">
        <x:v>Tabela 3 e embalagem</x:v>
      </x:c>
      <x:c r="D14" s="12" t="str">
        <x:v>alta</x:v>
      </x:c>
      <x:c r="E14" s="12" t="str">
        <x:v>prensadas/min</x:v>
      </x:c>
    </x:row>
    <x:row r="15">
      <x:c r="A15" s="12" t="str">
        <x:v>Slides e guias de Arranjo Fisico Industrial</x:v>
      </x:c>
      <x:c r="B15" s="12" t="str">
        <x:v>Metodo: Fluxograma mostra sequencia; mapofluxograma mostra sequencia sobre layout metodo da aula</x:v>
      </x:c>
      <x:c r="C15" s="12" t="str">
        <x:v>diagramas</x:v>
      </x:c>
      <x:c r="D15" s="12" t="str">
        <x:v>alta</x:v>
      </x:c>
      <x:c r="E15" s="12" t="str">
        <x:v>conceito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str">
        <x:v>Tabela 1 - Componentes por unidade de produto embalado</x:v>
      </x:c>
      <x:c r="B1" s="4"/>
      <x:c r="C1" s="4"/>
      <x:c r="D1" s="4"/>
      <x:c r="E1" s="4"/>
      <x:c r="F1" s="4"/>
    </x:row>
    <x:row r="3">
      <x:c r="A3" s="8" t="str">
        <x:v>Componentes</x:v>
      </x:c>
      <x:c r="B3" s="8" t="str">
        <x:v>Quantidades</x:v>
      </x:c>
      <x:c r="C3" s="8" t="str">
        <x:v>Unidade de medida</x:v>
      </x:c>
      <x:c r="D3" s="8" t="str">
        <x:v>Fazer ou comprar</x:v>
      </x:c>
      <x:c r="E3" s="8" t="str">
        <x:v>Justificativa</x:v>
      </x:c>
    </x:row>
    <x:row r="4">
      <x:c r="A4" s="12" t="str">
        <x:v>Faca chef 8 pol. com lamina em aco inox, cabo de madeira natural e rebites de aluminio</x:v>
      </x:c>
      <x:c r="B4" s="12" t="n">
        <x:v>1</x:v>
      </x:c>
      <x:c r="C4" s="12" t="str">
        <x:v>unidade</x:v>
      </x:c>
      <x:c r="D4" s="12" t="str">
        <x:v>Fazer</x:v>
      </x:c>
      <x:c r="E4" s="12"/>
    </x:row>
    <x:row r="5">
      <x:c r="A5" s="12" t="str">
        <x:v>Garfo trinchante com lamina em aco inox, cabo de madeira natural e rebites de aluminio</x:v>
      </x:c>
      <x:c r="B5" s="12" t="n">
        <x:v>1</x:v>
      </x:c>
      <x:c r="C5" s="12" t="str">
        <x:v>unidade</x:v>
      </x:c>
      <x:c r="D5" s="12" t="str">
        <x:v>Fazer</x:v>
      </x:c>
      <x:c r="E5" s="12"/>
    </x:row>
    <x:row r="6">
      <x:c r="A6" s="12" t="str">
        <x:v>Tabua retangular em madeira Macaranduba com acabamento natural</x:v>
      </x:c>
      <x:c r="B6" s="12" t="n">
        <x:v>1</x:v>
      </x:c>
      <x:c r="C6" s="12" t="str">
        <x:v>unidade</x:v>
      </x:c>
      <x:c r="D6" s="12" t="str">
        <x:v>Fazer</x:v>
      </x:c>
      <x:c r="E6" s="12"/>
    </x:row>
    <x:row r="7">
      <x:c r="A7" s="12" t="str">
        <x:v>Cartela/cinta impressa da embalagem</x:v>
      </x:c>
      <x:c r="B7" s="12" t="n">
        <x:v>1</x:v>
      </x:c>
      <x:c r="C7" s="12" t="str">
        <x:v>unidade</x:v>
      </x:c>
      <x:c r="D7" s="12" t="str">
        <x:v>Comprar</x:v>
      </x:c>
      <x:c r="E7" s="12"/>
    </x:row>
    <x:row r="8">
      <x:c r="A8" s="12" t="str">
        <x:v>Blister/suporte plastico transparente</x:v>
      </x:c>
      <x:c r="B8" s="12" t="n">
        <x:v>1</x:v>
      </x:c>
      <x:c r="C8" s="12" t="str">
        <x:v>unidade</x:v>
      </x:c>
      <x:c r="D8" s="12" t="str">
        <x:v>Comprar</x:v>
      </x:c>
      <x:c r="E8" s="12"/>
    </x:row>
    <x:row r="9">
      <x:c r="A9" s="12" t="str">
        <x:v>Etiqueta/codigo de barras/rastreabilidade</x:v>
      </x:c>
      <x:c r="B9" s="12" t="n">
        <x:v>1</x:v>
      </x:c>
      <x:c r="C9" s="12" t="str">
        <x:v>conjunto</x:v>
      </x:c>
      <x:c r="D9" s="12" t="str">
        <x:v>Comprar</x:v>
      </x:c>
      <x:c r="E9" s="12"/>
    </x:row>
    <x:row r="10">
      <x:c r="A10" s="12" t="str">
        <x:v>Caixa de transporte para envio</x:v>
      </x:c>
      <x:c r="B10" s="12" t="n">
        <x:v>1</x:v>
      </x:c>
      <x:c r="C10" s="12" t="str">
        <x:v>unidade</x:v>
      </x:c>
      <x:c r="D10" s="12" t="str">
        <x:v>Comprar</x:v>
      </x:c>
      <x:c r="E1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4" t="str">
        <x:v>Tabela 2 - Processos industriais e recursos</x:v>
      </x:c>
      <x:c r="B1" s="4"/>
      <x:c r="C1" s="4"/>
      <x:c r="D1" s="4"/>
      <x:c r="E1" s="4"/>
      <x:c r="F1" s="4"/>
      <x:c r="G1" s="4"/>
    </x:row>
    <x:row r="3">
      <x:c r="A3" s="8" t="str">
        <x:v>No.</x:v>
      </x:c>
      <x:c r="B3" s="8" t="str">
        <x:v>Processo</x:v>
      </x:c>
      <x:c r="C3" s="8" t="str">
        <x:v>Tipo</x:v>
      </x:c>
      <x:c r="D3" s="8" t="str">
        <x:v>Recursos fisicos</x:v>
      </x:c>
      <x:c r="E3" s="8" t="str">
        <x:v>Equipamento vinculado</x:v>
      </x:c>
    </x:row>
    <x:row r="4">
      <x:c r="A4" s="12" t="n">
        <x:v>1</x:v>
      </x:c>
      <x:c r="B4" s="12" t="str">
        <x:v>Receber materias-primas e embalagens</x:v>
      </x:c>
      <x:c r="C4" s="12" t="str">
        <x:v>inspecao</x:v>
      </x:c>
      <x:c r="D4" s="12"/>
      <x:c r="E4" s="12" t="str"/>
    </x:row>
    <x:row r="5">
      <x:c r="A5" s="12" t="n">
        <x:v>2</x:v>
      </x:c>
      <x:c r="B5" s="12" t="str">
        <x:v>Armazenar aco inox, madeira, rebites e embalagens</x:v>
      </x:c>
      <x:c r="C5" s="12" t="str">
        <x:v>armazenagem</x:v>
      </x:c>
      <x:c r="D5" s="12"/>
      <x:c r="E5" s="12" t="str"/>
    </x:row>
    <x:row r="6">
      <x:c r="A6" s="12" t="n">
        <x:v>3</x:v>
      </x:c>
      <x:c r="B6" s="12" t="str">
        <x:v>Transportar aco inox para corte</x:v>
      </x:c>
      <x:c r="C6" s="12" t="str">
        <x:v>transporte</x:v>
      </x:c>
      <x:c r="D6" s="12"/>
      <x:c r="E6" s="12" t="str"/>
    </x:row>
    <x:row r="7">
      <x:c r="A7" s="12" t="n">
        <x:v>4</x:v>
      </x:c>
      <x:c r="B7" s="12" t="str">
        <x:v>Cortar blanks da faca e do garfo em chapa de aco inox</x:v>
      </x:c>
      <x:c r="C7" s="12" t="str">
        <x:v>operacao</x:v>
      </x:c>
      <x:c r="D7" s="12"/>
      <x:c r="E7" s="12" t="str">
        <x:v>laser_fibra</x:v>
      </x:c>
    </x:row>
    <x:row r="8">
      <x:c r="A8" s="12" t="n">
        <x:v>5</x:v>
      </x:c>
      <x:c r="B8" s="12" t="str">
        <x:v>Inspecionar blanks metalicos</x:v>
      </x:c>
      <x:c r="C8" s="12" t="str">
        <x:v>inspecao</x:v>
      </x:c>
      <x:c r="D8" s="12"/>
      <x:c r="E8" s="12" t="str"/>
    </x:row>
    <x:row r="9">
      <x:c r="A9" s="12" t="n">
        <x:v>6</x:v>
      </x:c>
      <x:c r="B9" s="12" t="str">
        <x:v>Realizar tratamento termico das pecas metalicas</x:v>
      </x:c>
      <x:c r="C9" s="12" t="str">
        <x:v>operacao</x:v>
      </x:c>
      <x:c r="D9" s="12"/>
      <x:c r="E9" s="12" t="str">
        <x:v>forno_tt</x:v>
      </x:c>
    </x:row>
    <x:row r="10">
      <x:c r="A10" s="12" t="n">
        <x:v>7</x:v>
      </x:c>
      <x:c r="B10" s="12" t="str">
        <x:v>Aguardar resfriamento/estabilizacao das pecas</x:v>
      </x:c>
      <x:c r="C10" s="12" t="str">
        <x:v>espera</x:v>
      </x:c>
      <x:c r="D10" s="12"/>
      <x:c r="E10" s="12" t="str"/>
    </x:row>
    <x:row r="11">
      <x:c r="A11" s="12" t="n">
        <x:v>8</x:v>
      </x:c>
      <x:c r="B11" s="12" t="str">
        <x:v>Rebarbar, lixar e polir faca e garfo</x:v>
      </x:c>
      <x:c r="C11" s="12" t="str">
        <x:v>operacao</x:v>
      </x:c>
      <x:c r="D11" s="12"/>
      <x:c r="E11" s="12" t="str">
        <x:v>politriz_metal</x:v>
      </x:c>
    </x:row>
    <x:row r="12">
      <x:c r="A12" s="12" t="n">
        <x:v>9</x:v>
      </x:c>
      <x:c r="B12" s="12" t="str">
        <x:v>Afiar faca</x:v>
      </x:c>
      <x:c r="C12" s="12" t="str">
        <x:v>operacao</x:v>
      </x:c>
      <x:c r="D12" s="12"/>
      <x:c r="E12" s="12" t="str">
        <x:v>afiador</x:v>
      </x:c>
    </x:row>
    <x:row r="13">
      <x:c r="A13" s="12" t="n">
        <x:v>10</x:v>
      </x:c>
      <x:c r="B13" s="12" t="str">
        <x:v>Armazenar pecas metalicas semiacabadas</x:v>
      </x:c>
      <x:c r="C13" s="12" t="str">
        <x:v>armazenagem</x:v>
      </x:c>
      <x:c r="D13" s="12"/>
      <x:c r="E13" s="12" t="str"/>
    </x:row>
    <x:row r="14">
      <x:c r="A14" s="12" t="n">
        <x:v>11</x:v>
      </x:c>
      <x:c r="B14" s="12" t="str">
        <x:v>Transportar madeira para corte</x:v>
      </x:c>
      <x:c r="C14" s="12" t="str">
        <x:v>transporte</x:v>
      </x:c>
      <x:c r="D14" s="12"/>
      <x:c r="E14" s="12" t="str"/>
    </x:row>
    <x:row r="15">
      <x:c r="A15" s="12" t="n">
        <x:v>12</x:v>
      </x:c>
      <x:c r="B15" s="12" t="str">
        <x:v>Cortar tabuas e blanks dos cabos</x:v>
      </x:c>
      <x:c r="C15" s="12" t="str">
        <x:v>operacao</x:v>
      </x:c>
      <x:c r="D15" s="12"/>
      <x:c r="E15" s="12" t="str">
        <x:v>esquadrejadeira</x:v>
      </x:c>
    </x:row>
    <x:row r="16">
      <x:c r="A16" s="12" t="n">
        <x:v>13</x:v>
      </x:c>
      <x:c r="B16" s="12" t="str">
        <x:v>Fresar sulco da tabua e usinar/furar cabos</x:v>
      </x:c>
      <x:c r="C16" s="12" t="str">
        <x:v>operacao</x:v>
      </x:c>
      <x:c r="D16" s="12"/>
      <x:c r="E16" s="12" t="str">
        <x:v>router_cnc</x:v>
      </x:c>
    </x:row>
    <x:row r="17">
      <x:c r="A17" s="12" t="n">
        <x:v>14</x:v>
      </x:c>
      <x:c r="B17" s="12" t="str">
        <x:v>Lixar tabua e cabos</x:v>
      </x:c>
      <x:c r="C17" s="12" t="str">
        <x:v>operacao</x:v>
      </x:c>
      <x:c r="D17" s="12"/>
      <x:c r="E17" s="12" t="str">
        <x:v>lixadeira_madeira</x:v>
      </x:c>
    </x:row>
    <x:row r="18">
      <x:c r="A18" s="12" t="n">
        <x:v>15</x:v>
      </x:c>
      <x:c r="B18" s="12" t="str">
        <x:v>Aplicar acabamento superficial na madeira</x:v>
      </x:c>
      <x:c r="C18" s="12" t="str">
        <x:v>operacao</x:v>
      </x:c>
      <x:c r="D18" s="12"/>
      <x:c r="E18" s="12" t="str">
        <x:v>acabamento_madeira</x:v>
      </x:c>
    </x:row>
    <x:row r="19">
      <x:c r="A19" s="12" t="n">
        <x:v>16</x:v>
      </x:c>
      <x:c r="B19" s="12" t="str">
        <x:v>Aguardar cura/secagem do acabamento</x:v>
      </x:c>
      <x:c r="C19" s="12" t="str">
        <x:v>espera</x:v>
      </x:c>
      <x:c r="D19" s="12"/>
      <x:c r="E19" s="12" t="str"/>
    </x:row>
    <x:row r="20">
      <x:c r="A20" s="12" t="n">
        <x:v>17</x:v>
      </x:c>
      <x:c r="B20" s="12" t="str">
        <x:v>Inspecionar pecas de madeira</x:v>
      </x:c>
      <x:c r="C20" s="12" t="str">
        <x:v>inspecao</x:v>
      </x:c>
      <x:c r="D20" s="12"/>
      <x:c r="E20" s="12" t="str"/>
    </x:row>
    <x:row r="21">
      <x:c r="A21" s="12" t="n">
        <x:v>18</x:v>
      </x:c>
      <x:c r="B21" s="12" t="str">
        <x:v>Transportar pecas para montagem</x:v>
      </x:c>
      <x:c r="C21" s="12" t="str">
        <x:v>transporte</x:v>
      </x:c>
      <x:c r="D21" s="12"/>
      <x:c r="E21" s="12" t="str"/>
    </x:row>
    <x:row r="22">
      <x:c r="A22" s="12" t="n">
        <x:v>19</x:v>
      </x:c>
      <x:c r="B22" s="12" t="str">
        <x:v>Montar cabos na faca e no garfo por rebitagem</x:v>
      </x:c>
      <x:c r="C22" s="12" t="str">
        <x:v>operacao</x:v>
      </x:c>
      <x:c r="D22" s="12"/>
      <x:c r="E22" s="12" t="str">
        <x:v>rebitadeira</x:v>
      </x:c>
    </x:row>
    <x:row r="23">
      <x:c r="A23" s="12" t="n">
        <x:v>20</x:v>
      </x:c>
      <x:c r="B23" s="12" t="str">
        <x:v>Inspecionar montagem, fio e acabamento</x:v>
      </x:c>
      <x:c r="C23" s="12" t="str">
        <x:v>inspecao</x:v>
      </x:c>
      <x:c r="D23" s="12"/>
      <x:c r="E23" s="12" t="str">
        <x:v>bancada_montagem</x:v>
      </x:c>
    </x:row>
    <x:row r="24">
      <x:c r="A24" s="12" t="n">
        <x:v>21</x:v>
      </x:c>
      <x:c r="B24" s="12" t="str">
        <x:v>Montar kit na cartela/blister</x:v>
      </x:c>
      <x:c r="C24" s="12" t="str">
        <x:v>operacao</x:v>
      </x:c>
      <x:c r="D24" s="12"/>
      <x:c r="E24" s="12" t="str">
        <x:v>bancada_montagem</x:v>
      </x:c>
    </x:row>
    <x:row r="25">
      <x:c r="A25" s="12" t="n">
        <x:v>22</x:v>
      </x:c>
      <x:c r="B25" s="12" t="str">
        <x:v>Selar blister/cartela</x:v>
      </x:c>
      <x:c r="C25" s="12" t="str">
        <x:v>operacao</x:v>
      </x:c>
      <x:c r="D25" s="12"/>
      <x:c r="E25" s="12" t="str">
        <x:v>seladora_blister</x:v>
      </x:c>
    </x:row>
    <x:row r="26">
      <x:c r="A26" s="12" t="n">
        <x:v>23</x:v>
      </x:c>
      <x:c r="B26" s="12" t="str">
        <x:v>Inspecionar kit embalado</x:v>
      </x:c>
      <x:c r="C26" s="12" t="str">
        <x:v>inspecao</x:v>
      </x:c>
      <x:c r="D26" s="12"/>
      <x:c r="E26" s="12" t="str">
        <x:v>bancada_montagem</x:v>
      </x:c>
    </x:row>
    <x:row r="27">
      <x:c r="A27" s="12" t="n">
        <x:v>24</x:v>
      </x:c>
      <x:c r="B27" s="12" t="str">
        <x:v>Embalar para envio em caixa de transporte</x:v>
      </x:c>
      <x:c r="C27" s="12" t="str">
        <x:v>operacao</x:v>
      </x:c>
      <x:c r="D27" s="12"/>
      <x:c r="E27" s="12" t="str">
        <x:v>bancada_montagem</x:v>
      </x:c>
    </x:row>
    <x:row r="28">
      <x:c r="A28" s="12" t="n">
        <x:v>25</x:v>
      </x:c>
      <x:c r="B28" s="12" t="str">
        <x:v>Armazenar produto acabado</x:v>
      </x:c>
      <x:c r="C28" s="12" t="str">
        <x:v>armazenagem</x:v>
      </x:c>
      <x:c r="D28" s="12"/>
      <x:c r="E28" s="12" t="str"/>
    </x:row>
    <x:row r="29">
      <x:c r="A29" s="12" t="n">
        <x:v>26</x:v>
      </x:c>
      <x:c r="B29" s="12" t="str">
        <x:v>Transportar para expedicao</x:v>
      </x:c>
      <x:c r="C29" s="12" t="str">
        <x:v>transporte</x:v>
      </x:c>
      <x:c r="D29" s="12"/>
      <x:c r="E29" s="1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4" t="str">
        <x:v>Tabela 3 - Equipamentos selecionados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8" t="str">
        <x:v>Tipo</x:v>
      </x:c>
      <x:c r="B3" s="8" t="str">
        <x:v>Fornecedor</x:v>
      </x:c>
      <x:c r="C3" s="8" t="str">
        <x:v>Modelo</x:v>
      </x:c>
      <x:c r="D3" s="8" t="str">
        <x:v>Medidas aprox. (m)</x:v>
      </x:c>
      <x:c r="E3" s="8" t="str">
        <x:v>Capacidade informada/assumida</x:v>
      </x:c>
      <x:c r="F3" s="8" t="str">
        <x:v>Fonte</x:v>
      </x:c>
    </x:row>
    <x:row r="4">
      <x:c r="A4" s="12" t="str">
        <x:v>Corte laser fibra CNC</x:v>
      </x:c>
      <x:c r="B4" s="12" t="str">
        <x:v>Madetech</x:v>
      </x:c>
      <x:c r="C4" s="12" t="str">
        <x:v>CNC Fiber Pro 1530</x:v>
      </x:c>
      <x:c r="D4" s="12" t="str">
        <x:v>5 x 3 x 1.8</x:v>
      </x:c>
      <x:c r="E4" s="12" t="str">
        <x:v>Laser 1500 W; mesa 3000x1500 mm; velocidade de corte 20.000 mm/min; inox ate 2 mm</x:v>
      </x:c>
      <x:c r="F4" s="12" t="str">
        <x:v>Madetech CNC Fiber Pro 1530</x:v>
      </x:c>
    </x:row>
    <x:row r="5">
      <x:c r="A5" s="12" t="str">
        <x:v>Forno de tratamento termico</x:v>
      </x:c>
      <x:c r="B5" s="12" t="str">
        <x:v>Cecomatec</x:v>
      </x:c>
      <x:c r="C5" s="12" t="str">
        <x:v>703.099 com carro</x:v>
      </x:c>
      <x:c r="D5" s="12" t="str">
        <x:v>3.75 x 1.6 x 3.1</x:v>
      </x:c>
      <x:c r="E5" s="12" t="str">
        <x:v>Camara 800x1400x900 mm; temperatura maxima 1200 C</x:v>
      </x:c>
      <x:c r="F5" s="12" t="str">
        <x:v>Cecomatec Forno de Tratamento Termico com Carro</x:v>
      </x:c>
    </x:row>
    <x:row r="6">
      <x:c r="A6" s="12" t="str">
        <x:v>Lixadeira/politriz de cinta para metal</x:v>
      </x:c>
      <x:c r="B6" s="12" t="str">
        <x:v>Fornecedor a definir</x:v>
      </x:c>
      <x:c r="C6" s="12" t="str">
        <x:v>Lixadeira/politriz industrial</x:v>
      </x:c>
      <x:c r="D6" s="12" t="str">
        <x:v>1.2 x 0.8 x 1.4</x:v>
      </x:c>
      <x:c r="E6" s="12" t="str">
        <x:v>A definir em cotacao; usar tempo padrao</x:v>
      </x:c>
      <x:c r="F6" s="12" t="str">
        <x:v>premissa de engenharia</x:v>
      </x:c>
    </x:row>
    <x:row r="7">
      <x:c r="A7" s="12" t="str">
        <x:v>Afiador de facas</x:v>
      </x:c>
      <x:c r="B7" s="12" t="str">
        <x:v>Maksiwa</x:v>
      </x:c>
      <x:c r="C7" s="12" t="str">
        <x:v>AF.650</x:v>
      </x:c>
      <x:c r="D7" s="12" t="str">
        <x:v>0.65 x 0.33 x 0.36</x:v>
      </x:c>
      <x:c r="E7" s="12" t="str">
        <x:v>Afia facas ate 650 mm; 1440 RPM</x:v>
      </x:c>
      <x:c r="F7" s="12" t="str">
        <x:v>Maksiwa Afiador de Facas AF.650</x:v>
      </x:c>
    </x:row>
    <x:row r="8">
      <x:c r="A8" s="12" t="str">
        <x:v>Esquadrejadeira para madeira</x:v>
      </x:c>
      <x:c r="B8" s="12" t="str">
        <x:v>Maksiwa</x:v>
      </x:c>
      <x:c r="C8" s="12" t="str">
        <x:v>BMS.1900.I</x:v>
      </x:c>
      <x:c r="D8" s="12" t="str">
        <x:v>2.6 x 2.2 x 1.5</x:v>
      </x:c>
      <x:c r="E8" s="12" t="str">
        <x:v>Capacidade de corte 1900 mm; serra 4000 RPM</x:v>
      </x:c>
      <x:c r="F8" s="12" t="str">
        <x:v>Maksiwa Esquadrejadeira BMS.1900.I</x:v>
      </x:c>
    </x:row>
    <x:row r="9">
      <x:c r="A9" s="12" t="str">
        <x:v>Router CNC para madeira</x:v>
      </x:c>
      <x:c r="B9" s="12" t="str">
        <x:v>Maksiwa Store</x:v>
      </x:c>
      <x:c r="C9" s="12" t="str">
        <x:v>RTC.1313</x:v>
      </x:c>
      <x:c r="D9" s="12" t="str">
        <x:v>1.7 x 2 x 1.8</x:v>
      </x:c>
      <x:c r="E9" s="12" t="str">
        <x:v>Area util 1300x1300x200 mm; velocidade maxima 30 m/min; spindle 3,5 kW</x:v>
      </x:c>
      <x:c r="F9" s="12" t="str">
        <x:v>Maksiwa Store Router CNC RTC.1313</x:v>
      </x:c>
    </x:row>
    <x:row r="10">
      <x:c r="A10" s="12" t="str">
        <x:v>Lixadeira de madeira</x:v>
      </x:c>
      <x:c r="B10" s="12" t="str">
        <x:v>Fornecedor a definir</x:v>
      </x:c>
      <x:c r="C10" s="12" t="str">
        <x:v>Lixadeira de cinta/orbital industrial</x:v>
      </x:c>
      <x:c r="D10" s="12" t="str">
        <x:v>1.2 x 0.8 x 1.4</x:v>
      </x:c>
      <x:c r="E10" s="12" t="str">
        <x:v>A definir em cotacao; usar tempo padrao</x:v>
      </x:c>
      <x:c r="F10" s="12" t="str">
        <x:v>premissa de engenharia</x:v>
      </x:c>
    </x:row>
    <x:row r="11">
      <x:c r="A11" s="12" t="str">
        <x:v>Bancada de acabamento de madeira</x:v>
      </x:c>
      <x:c r="B11" s="12" t="str">
        <x:v>Montagem interna</x:v>
      </x:c>
      <x:c r="C11" s="12" t="str">
        <x:v>Bancada + exaustao/local de cura</x:v>
      </x:c>
      <x:c r="D11" s="12" t="str">
        <x:v>2 x 1 x 0.9</x:v>
      </x:c>
      <x:c r="E11" s="12" t="str">
        <x:v>Capacidade definida por tempo padrao e area de cura</x:v>
      </x:c>
      <x:c r="F11" s="12" t="str">
        <x:v>premissa de engenharia</x:v>
      </x:c>
    </x:row>
    <x:row r="12">
      <x:c r="A12" s="12" t="str">
        <x:v>Rebitadeira pneumatica</x:v>
      </x:c>
      <x:c r="B12" s="12" t="str">
        <x:v>Rebitex</x:v>
      </x:c>
      <x:c r="C12" s="12" t="str">
        <x:v>404-S TURBO-X</x:v>
      </x:c>
      <x:c r="D12" s="12" t="str">
        <x:v>1.2 x 0.8 x 1.5</x:v>
      </x:c>
      <x:c r="E12" s="12" t="str">
        <x:v>Capacidade ate 4 toneladas; velocidade 60 ciclos/min</x:v>
      </x:c>
      <x:c r="F12" s="12" t="str">
        <x:v>Rebitex Rebitadeira Pneumatica 404-S TURBO-X</x:v>
      </x:c>
    </x:row>
    <x:row r="13">
      <x:c r="A13" s="12" t="str">
        <x:v>Bancada de montagem e inspecao</x:v>
      </x:c>
      <x:c r="B13" s="12" t="str">
        <x:v>Montagem interna</x:v>
      </x:c>
      <x:c r="C13" s="12" t="str">
        <x:v>Bancada industrial</x:v>
      </x:c>
      <x:c r="D13" s="12" t="str">
        <x:v>2 x 1 x 0.9</x:v>
      </x:c>
      <x:c r="E13" s="12" t="str">
        <x:v>Capacidade definida por tempo padrao</x:v>
      </x:c>
      <x:c r="F13" s="12" t="str">
        <x:v>premissa de engenharia</x:v>
      </x:c>
    </x:row>
    <x:row r="14">
      <x:c r="A14" s="12" t="str">
        <x:v>Seladora blister tipo carrossel</x:v>
      </x:c>
      <x:c r="B14" s="12" t="str">
        <x:v>Flockcolor</x:v>
      </x:c>
      <x:c r="C14" s="12" t="str">
        <x:v>40 x 50 cm semiautomatica pneumatica</x:v>
      </x:c>
      <x:c r="D14" s="12" t="str">
        <x:v>1.9 x 1.6 x 1.6</x:v>
      </x:c>
      <x:c r="E14" s="12" t="str">
        <x:v>Area util 40x50 cm; produtividade 4 prensadas/min; dimensao 190x160x160 cm</x:v>
      </x:c>
      <x:c r="F14" s="12" t="str">
        <x:v>Flockcolor Seladora Blister tipo carrossel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4" t="str">
        <x:v>Estimativa de consumo de materiais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8" t="str">
        <x:v>Item</x:v>
      </x:c>
      <x:c r="B3" s="8" t="str">
        <x:v>Fonte</x:v>
      </x:c>
      <x:c r="C3" s="8" t="str">
        <x:v>Formula usada no codigo</x:v>
      </x:c>
      <x:c r="D3" s="8" t="str">
        <x:v>Entradas</x:v>
      </x:c>
      <x:c r="E3" s="8" t="str">
        <x:v>Massa liquida g/kit</x:v>
      </x:c>
      <x:c r="F3" s="8" t="str">
        <x:v>Fator perda</x:v>
      </x:c>
      <x:c r="G3" s="8" t="str">
        <x:v>Compra g/kit</x:v>
      </x:c>
      <x:c r="H3" s="8" t="str">
        <x:v>Compra kg/semana</x:v>
      </x:c>
    </x:row>
    <x:row r="4">
      <x:c r="A4" s="12" t="str">
        <x:v>Aco inox faca</x:v>
      </x:c>
      <x:c r="B4" s="12" t="str">
        <x:v>Desenho tecnico Tramontina 22399036</x:v>
      </x:c>
      <x:c r="C4" s="12" t="str">
        <x:v>comprimento_blank_cm * largura_media_cm * espessura_cm * densidade_g_cm3 * fator_perda</x:v>
      </x:c>
      <x:c r="D4" s="12" t="str">
        <x:v>{"comprimento_blank_cm":31.7,"largura_media_cm":2.4,"espessura_cm":0.2,"densidade_g_cm3":7.7,"fator_perda":1.25}</x:v>
      </x:c>
      <x:c r="E4" s="12" t="n">
        <x:v>117.16320000000002</x:v>
      </x:c>
      <x:c r="F4" s="12" t="n">
        <x:v>1.25</x:v>
      </x:c>
      <x:c r="G4" s="12" t="n">
        <x:f>E4*F4</x:f>
        <x:v>146.454</x:v>
      </x:c>
      <x:c r="H4" s="12" t="n">
        <x:f>G4*ROUNDUP(Premissas!B4/Premissas!B5,0)/1000</x:f>
        <x:v>154.216062</x:v>
      </x:c>
    </x:row>
    <x:row r="5">
      <x:c r="A5" s="12" t="str">
        <x:v>Aco inox garfo</x:v>
      </x:c>
      <x:c r="B5" s="12" t="str">
        <x:v>Desenho tecnico Tramontina 22399036</x:v>
      </x:c>
      <x:c r="C5" s="12" t="str">
        <x:v>comprimento_cm * largura_media_cm * espessura_cm * densidade_g_cm3 * fator_perda</x:v>
      </x:c>
      <x:c r="D5" s="12" t="str">
        <x:v>{"comprimento_cm":29.8,"largura_media_cm":1.3,"espessura_cm":0.2,"densidade_g_cm3":7.7,"fator_perda":1.3}</x:v>
      </x:c>
      <x:c r="E5" s="12" t="n">
        <x:v>59.65960000000001</x:v>
      </x:c>
      <x:c r="F5" s="12" t="n">
        <x:v>1.3</x:v>
      </x:c>
      <x:c r="G5" s="12" t="n">
        <x:f>E5*F5</x:f>
        <x:v>77.55748000000001</x:v>
      </x:c>
      <x:c r="H5" s="12" t="n">
        <x:f>G5*ROUNDUP(Premissas!B4/Premissas!B5,0)/1000</x:f>
        <x:v>81.66802644000002</x:v>
      </x:c>
    </x:row>
    <x:row r="6">
      <x:c r="A6" s="12" t="str">
        <x:v>Madeira tabua Macaranduba</x:v>
      </x:c>
      <x:c r="B6" s="12" t="str">
        <x:v>Pagina oficial Tramontina - produto 22399036</x:v>
      </x:c>
      <x:c r="C6" s="12" t="str">
        <x:v>comprimento_cm * largura_cm * espessura_cm * densidade_g_cm3 * fator_perda_usinagem</x:v>
      </x:c>
      <x:c r="D6" s="12" t="str">
        <x:v>{"comprimento_cm":34,"largura_cm":19,"espessura_cm":1.5,"densidade_g_cm3":1.04,"fator_perda_usinagem":1.12}</x:v>
      </x:c>
      <x:c r="E6" s="12" t="n">
        <x:v>1007.76</x:v>
      </x:c>
      <x:c r="F6" s="12" t="n">
        <x:v>1.12</x:v>
      </x:c>
      <x:c r="G6" s="12" t="n">
        <x:f>E6*F6</x:f>
        <x:v>1128.6912000000002</x:v>
      </x:c>
      <x:c r="H6" s="12" t="n">
        <x:f>G6*ROUNDUP(Premissas!B4/Premissas!B5,0)/1000</x:f>
        <x:v>1188.5118336000003</x:v>
      </x:c>
    </x:row>
    <x:row r="7">
      <x:c r="A7" s="12" t="str">
        <x:v>Madeira cabos</x:v>
      </x:c>
      <x:c r="B7" s="12" t="str">
        <x:v>premissa de engenharia</x:v>
      </x:c>
      <x:c r="C7" s="12" t="str">
        <x:v>volume_estimado_cabos_cm3 * densidade_g_cm3 * fator_perda</x:v>
      </x:c>
      <x:c r="D7" s="12" t="str">
        <x:v>{"volume_estimado_cabos_cm3":42,"densidade_g_cm3":0.65,"fator_perda":1.35}</x:v>
      </x:c>
      <x:c r="E7" s="12" t="n">
        <x:v>27.3</x:v>
      </x:c>
      <x:c r="F7" s="12" t="n">
        <x:v>1.35</x:v>
      </x:c>
      <x:c r="G7" s="12" t="n">
        <x:f>E7*F7</x:f>
        <x:v>36.855000000000004</x:v>
      </x:c>
      <x:c r="H7" s="12" t="n">
        <x:f>G7*ROUNDUP(Premissas!B4/Premissas!B5,0)/1000</x:f>
        <x:v>38.808315</x:v>
      </x:c>
    </x:row>
    <x:row r="8">
      <x:c r="A8" s="12" t="str">
        <x:v>Aluminio rebites</x:v>
      </x:c>
      <x:c r="B8" s="12" t="str">
        <x:v>premissa de engenharia</x:v>
      </x:c>
      <x:c r="C8" s="12" t="str">
        <x:v>quantidade_rebites * massa_unitaria_g * fator_perda</x:v>
      </x:c>
      <x:c r="D8" s="12" t="str">
        <x:v>{"quantidade_rebites":4,"massa_unitaria_g":1.2,"fator_perda":1.05}</x:v>
      </x:c>
      <x:c r="E8" s="12" t="n">
        <x:v>4.8</x:v>
      </x:c>
      <x:c r="F8" s="12" t="n">
        <x:v>1.05</x:v>
      </x:c>
      <x:c r="G8" s="12" t="n">
        <x:f>E8*F8</x:f>
        <x:v>5.04</x:v>
      </x:c>
      <x:c r="H8" s="12" t="n">
        <x:f>G8*ROUNDUP(Premissas!B4/Premissas!B5,0)/1000</x:f>
        <x:v>5.30712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4" t="str">
        <x:v>Capacidade e quantidade por equipamento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8" t="str">
        <x:v>ID</x:v>
      </x:c>
      <x:c r="B3" s="8" t="str">
        <x:v>Tipo</x:v>
      </x:c>
      <x:c r="C3" s="8" t="str">
        <x:v>Fornecedor</x:v>
      </x:c>
      <x:c r="D3" s="8" t="str">
        <x:v>Modelo</x:v>
      </x:c>
      <x:c r="E3" s="8" t="str">
        <x:v>Taxa nominal kit/h</x:v>
      </x:c>
      <x:c r="F3" s="8" t="str">
        <x:v>Horas uteis/sem</x:v>
      </x:c>
      <x:c r="G3" s="8" t="str">
        <x:v>Eficiencia</x:v>
      </x:c>
      <x:c r="H3" s="8" t="str">
        <x:v>Confiabilidade</x:v>
      </x:c>
      <x:c r="I3" s="8" t="str">
        <x:v>Rend. processo</x:v>
      </x:c>
      <x:c r="J3" s="8" t="str">
        <x:v>Taxa efetiva kit/h</x:v>
      </x:c>
      <x:c r="K3" s="8" t="str">
        <x:v>Capacidade sem./maq.</x:v>
      </x:c>
      <x:c r="L3" s="8" t="str">
        <x:v>Qtd. necessaria</x:v>
      </x:c>
      <x:c r="M3" s="8" t="str">
        <x:v>Utilizacao</x:v>
      </x:c>
      <x:c r="N3" s="8" t="str">
        <x:v>Area planejada m2</x:v>
      </x:c>
      <x:c r="O3" s="8" t="str">
        <x:v>Base da taxa</x:v>
      </x:c>
    </x:row>
    <x:row r="4">
      <x:c r="A4" s="12" t="str">
        <x:v>laser_fibra</x:v>
      </x:c>
      <x:c r="B4" s="12" t="str">
        <x:v>Corte laser fibra CNC</x:v>
      </x:c>
      <x:c r="C4" s="12" t="str">
        <x:v>Madetech</x:v>
      </x:c>
      <x:c r="D4" s="12" t="str">
        <x:v>CNC Fiber Pro 1530</x:v>
      </x:c>
      <x:c r="E4" s="12" t="n">
        <x:v>80</x:v>
      </x:c>
      <x:c r="F4" s="12" t="n">
        <x:f>Premissas!B6*Premissas!B7*Premissas!B9</x:f>
        <x:v>35</x:v>
      </x:c>
      <x:c r="G4" s="12" t="n">
        <x:f>Premissas!B10</x:f>
        <x:v>0.85</x:v>
      </x:c>
      <x:c r="H4" s="12" t="n">
        <x:f>Premissas!B11</x:f>
        <x:v>0.92</x:v>
      </x:c>
      <x:c r="I4" s="12" t="n">
        <x:f>Premissas!B12</x:f>
        <x:v>0.98</x:v>
      </x:c>
      <x:c r="J4" s="12" t="n">
        <x:f>E4*G4*H4*I4</x:f>
        <x:v>61.3088</x:v>
      </x:c>
      <x:c r="K4" s="12" t="n">
        <x:f>J4*F4</x:f>
        <x:v>2145.808</x:v>
      </x:c>
      <x:c r="L4" s="12" t="n">
        <x:f>ROUNDUP(ROUNDUP(Premissas!B4/Premissas!B5,0)/K4,0)</x:f>
        <x:v>1</x:v>
      </x:c>
      <x:c r="M4" s="12" t="n">
        <x:f>ROUNDUP(Premissas!B4/Premissas!B5,0)/(L4*K4)</x:f>
        <x:v>0.4907242400065616</x:v>
      </x:c>
      <x:c r="N4" s="12" t="n">
        <x:v>30</x:v>
      </x:c>
      <x:c r="O4" s="12" t="str">
        <x:v>estimativa: 45 s por kit para cortar blanks da faca e garfo em chapa aninhada</x:v>
      </x:c>
    </x:row>
    <x:row r="5">
      <x:c r="A5" s="12" t="str">
        <x:v>forno_tt</x:v>
      </x:c>
      <x:c r="B5" s="12" t="str">
        <x:v>Forno de tratamento termico</x:v>
      </x:c>
      <x:c r="C5" s="12" t="str">
        <x:v>Cecomatec</x:v>
      </x:c>
      <x:c r="D5" s="12" t="str">
        <x:v>703.099 com carro</x:v>
      </x:c>
      <x:c r="E5" s="12" t="n">
        <x:v>150</x:v>
      </x:c>
      <x:c r="F5" s="12" t="n">
        <x:f>Premissas!B6*Premissas!B7*Premissas!B9</x:f>
        <x:v>35</x:v>
      </x:c>
      <x:c r="G5" s="12" t="n">
        <x:f>Premissas!B10</x:f>
        <x:v>0.85</x:v>
      </x:c>
      <x:c r="H5" s="12" t="n">
        <x:f>Premissas!B11</x:f>
        <x:v>0.92</x:v>
      </x:c>
      <x:c r="I5" s="12" t="n">
        <x:f>Premissas!B12</x:f>
        <x:v>0.98</x:v>
      </x:c>
      <x:c r="J5" s="12" t="n">
        <x:f>E5*G5*H5*I5</x:f>
        <x:v>114.95400000000001</x:v>
      </x:c>
      <x:c r="K5" s="12" t="n">
        <x:f>J5*F5</x:f>
        <x:v>4023.3900000000003</x:v>
      </x:c>
      <x:c r="L5" s="12" t="n">
        <x:f>ROUNDUP(ROUNDUP(Premissas!B4/Premissas!B5,0)/K5,0)</x:f>
        <x:v>1</x:v>
      </x:c>
      <x:c r="M5" s="12" t="n">
        <x:f>ROUNDUP(Premissas!B4/Premissas!B5,0)/(L5*K5)</x:f>
        <x:v>0.2617195946701662</x:v>
      </x:c>
      <x:c r="N5" s="12" t="n">
        <x:v>12</x:v>
      </x:c>
      <x:c r="O5" s="12" t="str">
        <x:v>estimativa por batelada: 600 pecas metalicas/2 h, equivalente a 150 kits/h para 2 pecas metalicas por kit</x:v>
      </x:c>
    </x:row>
    <x:row r="6">
      <x:c r="A6" s="12" t="str">
        <x:v>politriz_metal</x:v>
      </x:c>
      <x:c r="B6" s="12" t="str">
        <x:v>Lixadeira/politriz de cinta para metal</x:v>
      </x:c>
      <x:c r="C6" s="12" t="str">
        <x:v>Fornecedor a definir</x:v>
      </x:c>
      <x:c r="D6" s="12" t="str">
        <x:v>Lixadeira/politriz industrial</x:v>
      </x:c>
      <x:c r="E6" s="12" t="n">
        <x:v>40</x:v>
      </x:c>
      <x:c r="F6" s="12" t="n">
        <x:f>Premissas!B6*Premissas!B7*Premissas!B9</x:f>
        <x:v>35</x:v>
      </x:c>
      <x:c r="G6" s="12" t="n">
        <x:f>Premissas!B10</x:f>
        <x:v>0.85</x:v>
      </x:c>
      <x:c r="H6" s="12" t="n">
        <x:f>Premissas!B11</x:f>
        <x:v>0.92</x:v>
      </x:c>
      <x:c r="I6" s="12" t="n">
        <x:f>Premissas!B12</x:f>
        <x:v>0.98</x:v>
      </x:c>
      <x:c r="J6" s="12" t="n">
        <x:f>E6*G6*H6*I6</x:f>
        <x:v>30.6544</x:v>
      </x:c>
      <x:c r="K6" s="12" t="n">
        <x:f>J6*F6</x:f>
        <x:v>1072.904</x:v>
      </x:c>
      <x:c r="L6" s="12" t="n">
        <x:f>ROUNDUP(ROUNDUP(Premissas!B4/Premissas!B5,0)/K6,0)</x:f>
        <x:v>1</x:v>
      </x:c>
      <x:c r="M6" s="12" t="n">
        <x:f>ROUNDUP(Premissas!B4/Premissas!B5,0)/(L6*K6)</x:f>
        <x:v>0.9814484800131232</x:v>
      </x:c>
      <x:c r="N6" s="12" t="n">
        <x:v>1.92</x:v>
      </x:c>
      <x:c r="O6" s="12" t="str">
        <x:v>estimativa: 90 s por kit para rebarbacao/polimento de faca e garfo</x:v>
      </x:c>
    </x:row>
    <x:row r="7">
      <x:c r="A7" s="12" t="str">
        <x:v>afiador</x:v>
      </x:c>
      <x:c r="B7" s="12" t="str">
        <x:v>Afiador de facas</x:v>
      </x:c>
      <x:c r="C7" s="12" t="str">
        <x:v>Maksiwa</x:v>
      </x:c>
      <x:c r="D7" s="12" t="str">
        <x:v>AF.650</x:v>
      </x:c>
      <x:c r="E7" s="12" t="n">
        <x:v>120</x:v>
      </x:c>
      <x:c r="F7" s="12" t="n">
        <x:f>Premissas!B6*Premissas!B7*Premissas!B9</x:f>
        <x:v>35</x:v>
      </x:c>
      <x:c r="G7" s="12" t="n">
        <x:f>Premissas!B10</x:f>
        <x:v>0.85</x:v>
      </x:c>
      <x:c r="H7" s="12" t="n">
        <x:f>Premissas!B11</x:f>
        <x:v>0.92</x:v>
      </x:c>
      <x:c r="I7" s="12" t="n">
        <x:f>Premissas!B12</x:f>
        <x:v>0.98</x:v>
      </x:c>
      <x:c r="J7" s="12" t="n">
        <x:f>E7*G7*H7*I7</x:f>
        <x:v>91.9632</x:v>
      </x:c>
      <x:c r="K7" s="12" t="n">
        <x:f>J7*F7</x:f>
        <x:v>3218.712</x:v>
      </x:c>
      <x:c r="L7" s="12" t="n">
        <x:f>ROUNDUP(ROUNDUP(Premissas!B4/Premissas!B5,0)/K7,0)</x:f>
        <x:v>1</x:v>
      </x:c>
      <x:c r="M7" s="12" t="n">
        <x:f>ROUNDUP(Premissas!B4/Premissas!B5,0)/(L7*K7)</x:f>
        <x:v>0.32714949333770776</x:v>
      </x:c>
      <x:c r="N7" s="12" t="n">
        <x:v>1.0725000000000002</x:v>
      </x:c>
      <x:c r="O7" s="12" t="str">
        <x:v>estimativa: 30 s por faca; garfo nao passa por afiacao</x:v>
      </x:c>
    </x:row>
    <x:row r="8">
      <x:c r="A8" s="12" t="str">
        <x:v>esquadrejadeira</x:v>
      </x:c>
      <x:c r="B8" s="12" t="str">
        <x:v>Esquadrejadeira para madeira</x:v>
      </x:c>
      <x:c r="C8" s="12" t="str">
        <x:v>Maksiwa</x:v>
      </x:c>
      <x:c r="D8" s="12" t="str">
        <x:v>BMS.1900.I</x:v>
      </x:c>
      <x:c r="E8" s="12" t="n">
        <x:v>80</x:v>
      </x:c>
      <x:c r="F8" s="12" t="n">
        <x:f>Premissas!B6*Premissas!B7*Premissas!B9</x:f>
        <x:v>35</x:v>
      </x:c>
      <x:c r="G8" s="12" t="n">
        <x:f>Premissas!B10</x:f>
        <x:v>0.85</x:v>
      </x:c>
      <x:c r="H8" s="12" t="n">
        <x:f>Premissas!B11</x:f>
        <x:v>0.92</x:v>
      </x:c>
      <x:c r="I8" s="12" t="n">
        <x:f>Premissas!B12</x:f>
        <x:v>0.98</x:v>
      </x:c>
      <x:c r="J8" s="12" t="n">
        <x:f>E8*G8*H8*I8</x:f>
        <x:v>61.3088</x:v>
      </x:c>
      <x:c r="K8" s="12" t="n">
        <x:f>J8*F8</x:f>
        <x:v>2145.808</x:v>
      </x:c>
      <x:c r="L8" s="12" t="n">
        <x:f>ROUNDUP(ROUNDUP(Premissas!B4/Premissas!B5,0)/K8,0)</x:f>
        <x:v>1</x:v>
      </x:c>
      <x:c r="M8" s="12" t="n">
        <x:f>ROUNDUP(Premissas!B4/Premissas!B5,0)/(L8*K8)</x:f>
        <x:v>0.4907242400065616</x:v>
      </x:c>
      <x:c r="N8" s="12" t="n">
        <x:v>11.440000000000001</x:v>
      </x:c>
      <x:c r="O8" s="12" t="str">
        <x:v>estimativa: 45 s por kit para cortar tabua e blanks de cabos</x:v>
      </x:c>
    </x:row>
    <x:row r="9">
      <x:c r="A9" s="12" t="str">
        <x:v>router_cnc</x:v>
      </x:c>
      <x:c r="B9" s="12" t="str">
        <x:v>Router CNC para madeira</x:v>
      </x:c>
      <x:c r="C9" s="12" t="str">
        <x:v>Maksiwa Store</x:v>
      </x:c>
      <x:c r="D9" s="12" t="str">
        <x:v>RTC.1313</x:v>
      </x:c>
      <x:c r="E9" s="12" t="n">
        <x:v>30</x:v>
      </x:c>
      <x:c r="F9" s="12" t="n">
        <x:f>Premissas!B6*Premissas!B7*Premissas!B9</x:f>
        <x:v>35</x:v>
      </x:c>
      <x:c r="G9" s="12" t="n">
        <x:f>Premissas!B10</x:f>
        <x:v>0.85</x:v>
      </x:c>
      <x:c r="H9" s="12" t="n">
        <x:f>Premissas!B11</x:f>
        <x:v>0.92</x:v>
      </x:c>
      <x:c r="I9" s="12" t="n">
        <x:f>Premissas!B12</x:f>
        <x:v>0.98</x:v>
      </x:c>
      <x:c r="J9" s="12" t="n">
        <x:f>E9*G9*H9*I9</x:f>
        <x:v>22.9908</x:v>
      </x:c>
      <x:c r="K9" s="12" t="n">
        <x:f>J9*F9</x:f>
        <x:v>804.678</x:v>
      </x:c>
      <x:c r="L9" s="12" t="n">
        <x:f>ROUNDUP(ROUNDUP(Premissas!B4/Premissas!B5,0)/K9,0)</x:f>
        <x:v>2</x:v>
      </x:c>
      <x:c r="M9" s="12" t="n">
        <x:f>ROUNDUP(Premissas!B4/Premissas!B5,0)/(L9*K9)</x:f>
        <x:v>0.6542989866754155</x:v>
      </x:c>
      <x:c r="N9" s="12" t="n">
        <x:v>14.96</x:v>
      </x:c>
      <x:c r="O9" s="12" t="str">
        <x:v>estimativa detalhada: 120 s por kit para fresar sulco da tabua e usinar/furar cabos</x:v>
      </x:c>
    </x:row>
    <x:row r="10">
      <x:c r="A10" s="12" t="str">
        <x:v>lixadeira_madeira</x:v>
      </x:c>
      <x:c r="B10" s="12" t="str">
        <x:v>Lixadeira de madeira</x:v>
      </x:c>
      <x:c r="C10" s="12" t="str">
        <x:v>Fornecedor a definir</x:v>
      </x:c>
      <x:c r="D10" s="12" t="str">
        <x:v>Lixadeira de cinta/orbital industrial</x:v>
      </x:c>
      <x:c r="E10" s="12" t="n">
        <x:v>40</x:v>
      </x:c>
      <x:c r="F10" s="12" t="n">
        <x:f>Premissas!B6*Premissas!B7*Premissas!B9</x:f>
        <x:v>35</x:v>
      </x:c>
      <x:c r="G10" s="12" t="n">
        <x:f>Premissas!B10</x:f>
        <x:v>0.85</x:v>
      </x:c>
      <x:c r="H10" s="12" t="n">
        <x:f>Premissas!B11</x:f>
        <x:v>0.92</x:v>
      </x:c>
      <x:c r="I10" s="12" t="n">
        <x:f>Premissas!B12</x:f>
        <x:v>0.98</x:v>
      </x:c>
      <x:c r="J10" s="12" t="n">
        <x:f>E10*G10*H10*I10</x:f>
        <x:v>30.6544</x:v>
      </x:c>
      <x:c r="K10" s="12" t="n">
        <x:f>J10*F10</x:f>
        <x:v>1072.904</x:v>
      </x:c>
      <x:c r="L10" s="12" t="n">
        <x:f>ROUNDUP(ROUNDUP(Premissas!B4/Premissas!B5,0)/K10,0)</x:f>
        <x:v>1</x:v>
      </x:c>
      <x:c r="M10" s="12" t="n">
        <x:f>ROUNDUP(Premissas!B4/Premissas!B5,0)/(L10*K10)</x:f>
        <x:v>0.9814484800131232</x:v>
      </x:c>
      <x:c r="N10" s="12" t="n">
        <x:v>1.92</x:v>
      </x:c>
      <x:c r="O10" s="12" t="str">
        <x:v>estimativa: 90 s por kit para lixamento de tabua e cabos</x:v>
      </x:c>
    </x:row>
    <x:row r="11">
      <x:c r="A11" s="12" t="str">
        <x:v>acabamento_madeira</x:v>
      </x:c>
      <x:c r="B11" s="12" t="str">
        <x:v>Bancada de acabamento de madeira</x:v>
      </x:c>
      <x:c r="C11" s="12" t="str">
        <x:v>Montagem interna</x:v>
      </x:c>
      <x:c r="D11" s="12" t="str">
        <x:v>Bancada + exaustao/local de cura</x:v>
      </x:c>
      <x:c r="E11" s="12" t="n">
        <x:v>60</x:v>
      </x:c>
      <x:c r="F11" s="12" t="n">
        <x:f>Premissas!B6*Premissas!B7*Premissas!B9</x:f>
        <x:v>35</x:v>
      </x:c>
      <x:c r="G11" s="12" t="n">
        <x:f>Premissas!B10</x:f>
        <x:v>0.85</x:v>
      </x:c>
      <x:c r="H11" s="12" t="n">
        <x:f>Premissas!B11</x:f>
        <x:v>0.92</x:v>
      </x:c>
      <x:c r="I11" s="12" t="n">
        <x:f>Premissas!B12</x:f>
        <x:v>0.98</x:v>
      </x:c>
      <x:c r="J11" s="12" t="n">
        <x:f>E11*G11*H11*I11</x:f>
        <x:v>45.9816</x:v>
      </x:c>
      <x:c r="K11" s="12" t="n">
        <x:f>J11*F11</x:f>
        <x:v>1609.356</x:v>
      </x:c>
      <x:c r="L11" s="12" t="n">
        <x:f>ROUNDUP(ROUNDUP(Premissas!B4/Premissas!B5,0)/K11,0)</x:f>
        <x:v>1</x:v>
      </x:c>
      <x:c r="M11" s="12" t="n">
        <x:f>ROUNDUP(Premissas!B4/Premissas!B5,0)/(L11*K11)</x:f>
        <x:v>0.6542989866754155</x:v>
      </x:c>
      <x:c r="N11" s="12" t="n">
        <x:v>5</x:v>
      </x:c>
      <x:c r="O11" s="12" t="str">
        <x:v>estimativa: 60 s por kit para aplicacao de acabamento; cura tratada como espera/area</x:v>
      </x:c>
    </x:row>
    <x:row r="12">
      <x:c r="A12" s="12" t="str">
        <x:v>rebitadeira</x:v>
      </x:c>
      <x:c r="B12" s="12" t="str">
        <x:v>Rebitadeira pneumatica</x:v>
      </x:c>
      <x:c r="C12" s="12" t="str">
        <x:v>Rebitex</x:v>
      </x:c>
      <x:c r="D12" s="12" t="str">
        <x:v>404-S TURBO-X</x:v>
      </x:c>
      <x:c r="E12" s="12" t="n">
        <x:v>40</x:v>
      </x:c>
      <x:c r="F12" s="12" t="n">
        <x:f>Premissas!B6*Premissas!B7*Premissas!B9</x:f>
        <x:v>35</x:v>
      </x:c>
      <x:c r="G12" s="12" t="n">
        <x:f>Premissas!B10</x:f>
        <x:v>0.85</x:v>
      </x:c>
      <x:c r="H12" s="12" t="n">
        <x:f>Premissas!B11</x:f>
        <x:v>0.92</x:v>
      </x:c>
      <x:c r="I12" s="12" t="n">
        <x:f>Premissas!B12</x:f>
        <x:v>0.98</x:v>
      </x:c>
      <x:c r="J12" s="12" t="n">
        <x:f>E12*G12*H12*I12</x:f>
        <x:v>30.6544</x:v>
      </x:c>
      <x:c r="K12" s="12" t="n">
        <x:f>J12*F12</x:f>
        <x:v>1072.904</x:v>
      </x:c>
      <x:c r="L12" s="12" t="n">
        <x:f>ROUNDUP(ROUNDUP(Premissas!B4/Premissas!B5,0)/K12,0)</x:f>
        <x:v>1</x:v>
      </x:c>
      <x:c r="M12" s="12" t="n">
        <x:f>ROUNDUP(Premissas!B4/Premissas!B5,0)/(L12*K12)</x:f>
        <x:v>0.9814484800131232</x:v>
      </x:c>
      <x:c r="N12" s="12" t="n">
        <x:v>1.92</x:v>
      </x:c>
      <x:c r="O12" s="12" t="str">
        <x:v>estimativa: 90 s por kit incluindo posicionamento de 4 rebites e manuseio</x:v>
      </x:c>
    </x:row>
    <x:row r="13">
      <x:c r="A13" s="12" t="str">
        <x:v>bancada_montagem</x:v>
      </x:c>
      <x:c r="B13" s="12" t="str">
        <x:v>Bancada de montagem e inspecao</x:v>
      </x:c>
      <x:c r="C13" s="12" t="str">
        <x:v>Montagem interna</x:v>
      </x:c>
      <x:c r="D13" s="12" t="str">
        <x:v>Bancada industrial</x:v>
      </x:c>
      <x:c r="E13" s="12" t="n">
        <x:v>60</x:v>
      </x:c>
      <x:c r="F13" s="12" t="n">
        <x:f>Premissas!B6*Premissas!B7*Premissas!B9</x:f>
        <x:v>35</x:v>
      </x:c>
      <x:c r="G13" s="12" t="n">
        <x:f>Premissas!B10</x:f>
        <x:v>0.85</x:v>
      </x:c>
      <x:c r="H13" s="12" t="n">
        <x:f>Premissas!B11</x:f>
        <x:v>0.92</x:v>
      </x:c>
      <x:c r="I13" s="12" t="n">
        <x:f>Premissas!B12</x:f>
        <x:v>0.98</x:v>
      </x:c>
      <x:c r="J13" s="12" t="n">
        <x:f>E13*G13*H13*I13</x:f>
        <x:v>45.9816</x:v>
      </x:c>
      <x:c r="K13" s="12" t="n">
        <x:f>J13*F13</x:f>
        <x:v>1609.356</x:v>
      </x:c>
      <x:c r="L13" s="12" t="n">
        <x:f>ROUNDUP(ROUNDUP(Premissas!B4/Premissas!B5,0)/K13,0)</x:f>
        <x:v>1</x:v>
      </x:c>
      <x:c r="M13" s="12" t="n">
        <x:f>ROUNDUP(Premissas!B4/Premissas!B5,0)/(L13*K13)</x:f>
        <x:v>0.6542989866754155</x:v>
      </x:c>
      <x:c r="N13" s="12" t="n">
        <x:v>4</x:v>
      </x:c>
      <x:c r="O13" s="12" t="str">
        <x:v>estimativa: 60 s por kit para montagem/conferencia manual do conjunto</x:v>
      </x:c>
    </x:row>
    <x:row r="14">
      <x:c r="A14" s="12" t="str">
        <x:v>seladora_blister</x:v>
      </x:c>
      <x:c r="B14" s="12" t="str">
        <x:v>Seladora blister tipo carrossel</x:v>
      </x:c>
      <x:c r="C14" s="12" t="str">
        <x:v>Flockcolor</x:v>
      </x:c>
      <x:c r="D14" s="12" t="str">
        <x:v>40 x 50 cm semiautomatica pneumatica</x:v>
      </x:c>
      <x:c r="E14" s="12" t="n">
        <x:v>240</x:v>
      </x:c>
      <x:c r="F14" s="12" t="n">
        <x:f>Premissas!B6*Premissas!B7*Premissas!B9</x:f>
        <x:v>35</x:v>
      </x:c>
      <x:c r="G14" s="12" t="n">
        <x:f>Premissas!B10</x:f>
        <x:v>0.85</x:v>
      </x:c>
      <x:c r="H14" s="12" t="n">
        <x:f>Premissas!B11</x:f>
        <x:v>0.92</x:v>
      </x:c>
      <x:c r="I14" s="12" t="n">
        <x:f>Premissas!B12</x:f>
        <x:v>0.98</x:v>
      </x:c>
      <x:c r="J14" s="12" t="n">
        <x:f>E14*G14*H14*I14</x:f>
        <x:v>183.9264</x:v>
      </x:c>
      <x:c r="K14" s="12" t="n">
        <x:f>J14*F14</x:f>
        <x:v>6437.424</x:v>
      </x:c>
      <x:c r="L14" s="12" t="n">
        <x:f>ROUNDUP(ROUNDUP(Premissas!B4/Premissas!B5,0)/K14,0)</x:f>
        <x:v>1</x:v>
      </x:c>
      <x:c r="M14" s="12" t="n">
        <x:f>ROUNDUP(Premissas!B4/Premissas!B5,0)/(L14*K14)</x:f>
        <x:v>0.16357474666885388</x:v>
      </x:c>
      <x:c r="N14" s="12" t="n">
        <x:v>6.08</x:v>
      </x:c>
      <x:c r="O14" s="12" t="str">
        <x:v>capacidade oficial: 4 prensadas/min, assumindo 1 kit por prensada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4" t="str">
        <x:v>Memoria de calculo - equipamento selecionado</x:v>
      </x:c>
      <x:c r="B1" s="4"/>
      <x:c r="C1" s="4"/>
      <x:c r="D1" s="4"/>
      <x:c r="E1" s="4"/>
    </x:row>
    <x:row r="3">
      <x:c r="A3" s="8" t="str">
        <x:v>Entrada / resultado</x:v>
      </x:c>
      <x:c r="B3" s="8" t="str">
        <x:v>Valor</x:v>
      </x:c>
      <x:c r="C3" s="8" t="str">
        <x:v>Formula / premissa</x:v>
      </x:c>
    </x:row>
    <x:row r="4">
      <x:c r="A4" s="12" t="str">
        <x:v>Equipamento</x:v>
      </x:c>
      <x:c r="B4" s="12" t="str">
        <x:v>Maksiwa Store RTC.1313</x:v>
      </x:c>
      <x:c r="C4" s="12" t="str">
        <x:v>Router CNC para madeira</x:v>
      </x:c>
    </x:row>
    <x:row r="5">
      <x:c r="A5" s="12" t="str">
        <x:v>Operacoes</x:v>
      </x:c>
      <x:c r="B5" s="12" t="str">
        <x:v>13 - Fresar sulco da tabua e usinar/furar cabos</x:v>
      </x:c>
      <x:c r="C5" s="12" t="str">
        <x:v>Processos considerados na Tabela 2</x:v>
      </x:c>
    </x:row>
    <x:row r="6">
      <x:c r="A6" s="12" t="str">
        <x:v>Meta semanal boa</x:v>
      </x:c>
      <x:c r="B6" s="12" t="n">
        <x:f>Premissas!B4</x:f>
        <x:v>1000</x:v>
      </x:c>
      <x:c r="C6" s="12" t="str">
        <x:v>Premissas!B4</x:v>
      </x:c>
    </x:row>
    <x:row r="7">
      <x:c r="A7" s="12" t="str">
        <x:v>Rendimento final</x:v>
      </x:c>
      <x:c r="B7" s="12" t="n">
        <x:f>Premissas!B5</x:f>
        <x:v>0.95</x:v>
      </x:c>
      <x:c r="C7" s="12" t="str">
        <x:v>Premissas!B5</x:v>
      </x:c>
    </x:row>
    <x:row r="8">
      <x:c r="A8" s="12" t="str">
        <x:v>Demanda bruta</x:v>
      </x:c>
      <x:c r="B8" s="12" t="n">
        <x:f>ROUNDUP(B6/B7,0)</x:f>
        <x:v>1053</x:v>
      </x:c>
      <x:c r="C8" s="12" t="str">
        <x:v>ROUNDUP(B6/B7,0)</x:v>
      </x:c>
    </x:row>
    <x:row r="9">
      <x:c r="A9" s="12" t="str">
        <x:v>Horas uteis semanais</x:v>
      </x:c>
      <x:c r="B9" s="12" t="n">
        <x:f>Premissas!B6*Premissas!B7*Premissas!B9</x:f>
        <x:v>35</x:v>
      </x:c>
      <x:c r="C9" s="12" t="str">
        <x:v>Premissas!B6*Premissas!B7*Premissas!B9</x:v>
      </x:c>
    </x:row>
    <x:row r="10">
      <x:c r="A10" s="12" t="str">
        <x:v>Tempo padrao</x:v>
      </x:c>
      <x:c r="B10" s="12" t="n">
        <x:v>120</x:v>
      </x:c>
      <x:c r="C10" s="12" t="str">
        <x:v>s/kit</x:v>
      </x:c>
    </x:row>
    <x:row r="11">
      <x:c r="A11" s="12" t="str">
        <x:v>Taxa nominal</x:v>
      </x:c>
      <x:c r="B11" s="12" t="n">
        <x:f>3600/B10</x:f>
        <x:v>30</x:v>
      </x:c>
      <x:c r="C11" s="12" t="str">
        <x:v>3600 / tempo padrao</x:v>
      </x:c>
    </x:row>
    <x:row r="12">
      <x:c r="A12" s="12" t="str">
        <x:v>Eficiencia</x:v>
      </x:c>
      <x:c r="B12" s="12" t="n">
        <x:f>Premissas!B10</x:f>
        <x:v>0.85</x:v>
      </x:c>
      <x:c r="C12" s="12" t="str">
        <x:v>Premissas!B10</x:v>
      </x:c>
    </x:row>
    <x:row r="13">
      <x:c r="A13" s="12" t="str">
        <x:v>Confiabilidade</x:v>
      </x:c>
      <x:c r="B13" s="12" t="n">
        <x:f>Premissas!B11</x:f>
        <x:v>0.92</x:v>
      </x:c>
      <x:c r="C13" s="12" t="str">
        <x:v>Premissas!B11</x:v>
      </x:c>
    </x:row>
    <x:row r="14">
      <x:c r="A14" s="12" t="str">
        <x:v>Rendimento do processo</x:v>
      </x:c>
      <x:c r="B14" s="12" t="n">
        <x:f>Premissas!B12</x:f>
        <x:v>0.98</x:v>
      </x:c>
      <x:c r="C14" s="12" t="str">
        <x:v>Premissas!B12</x:v>
      </x:c>
    </x:row>
    <x:row r="15">
      <x:c r="A15" s="12" t="str">
        <x:v>Taxa efetiva</x:v>
      </x:c>
      <x:c r="B15" s="12" t="n">
        <x:f>B11*B12*B13*B14</x:f>
        <x:v>22.9908</x:v>
      </x:c>
      <x:c r="C15" s="12" t="str">
        <x:v>taxa nominal * eficiencia * confiabilidade * rendimento</x:v>
      </x:c>
    </x:row>
    <x:row r="16">
      <x:c r="A16" s="12" t="str">
        <x:v>Capacidade semanal por maquina</x:v>
      </x:c>
      <x:c r="B16" s="12" t="n">
        <x:f>B15*B9</x:f>
        <x:v>804.678</x:v>
      </x:c>
      <x:c r="C16" s="12" t="str">
        <x:v>taxa efetiva * horas uteis</x:v>
      </x:c>
    </x:row>
    <x:row r="17">
      <x:c r="A17" s="12" t="str">
        <x:v>Quantidade necessaria</x:v>
      </x:c>
      <x:c r="B17" s="12" t="n">
        <x:f>ROUNDUP(B8/B16,0)</x:f>
        <x:v>2</x:v>
      </x:c>
      <x:c r="C17" s="12" t="str">
        <x:v>ROUNDUP(demanda bruta / capacidade semanal,0)</x:v>
      </x:c>
    </x:row>
    <x:row r="18">
      <x:c r="A18" s="12" t="str">
        <x:v>Utilizacao</x:v>
      </x:c>
      <x:c r="B18" s="12" t="n">
        <x:f>B8/(B17*B16)</x:f>
        <x:v>0.6542989866754155</x:v>
      </x:c>
      <x:c r="C18" s="12" t="str">
        <x:v>demanda bruta / (quantidade * capacidade semanal)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4" t="str">
        <x:v>Calculo de areas para layout esquematico</x:v>
      </x:c>
      <x:c r="B1" s="4"/>
      <x:c r="C1" s="4"/>
      <x:c r="D1" s="4"/>
      <x:c r="E1" s="4"/>
      <x:c r="F1" s="4"/>
    </x:row>
    <x:row r="3">
      <x:c r="A3" s="8" t="str">
        <x:v>Area</x:v>
      </x:c>
      <x:c r="B3" s="8" t="str">
        <x:v>m2</x:v>
      </x:c>
      <x:c r="C3" s="8" t="str">
        <x:v>Formula / criterio</x:v>
      </x:c>
    </x:row>
    <x:row r="4">
      <x:c r="A4" s="12" t="str">
        <x:v>Area de equipamentos</x:v>
      </x:c>
      <x:c r="B4" s="12" t="n">
        <x:f>SUM(Capacidade!N4:N100)</x:f>
        <x:v>90.31250000000001</x:v>
      </x:c>
      <x:c r="C4" s="12" t="str">
        <x:v>SUM(Capacidade!N:N)</x:v>
      </x:c>
    </x:row>
    <x:row r="5">
      <x:c r="A5" s="12" t="str">
        <x:v>Areas fixas</x:v>
      </x:c>
      <x:c r="B5" s="12" t="n">
        <x:f>SUM(B13:B18)</x:f>
        <x:v>110</x:v>
      </x:c>
      <x:c r="C5" s="12" t="str">
        <x:v>SUM(B13:B18)</x:v>
      </x:c>
    </x:row>
    <x:row r="6">
      <x:c r="A6" s="12" t="str">
        <x:v>Circulacao</x:v>
      </x:c>
      <x:c r="B6" s="12" t="n">
        <x:f>(B4+B5)*0.30</x:f>
        <x:v>60.09375</x:v>
      </x:c>
      <x:c r="C6" s="12" t="str">
        <x:v>30% * (equipamentos + areas fixas)</x:v>
      </x:c>
    </x:row>
    <x:row r="7">
      <x:c r="A7" s="12" t="str">
        <x:v>Area total requerida</x:v>
      </x:c>
      <x:c r="B7" s="12" t="n">
        <x:f>B4+B5+B6</x:f>
        <x:v>260.40625</x:v>
      </x:c>
      <x:c r="C7" s="12" t="str">
        <x:v>equipamentos + fixas + circulacao</x:v>
      </x:c>
    </x:row>
    <x:row r="8">
      <x:c r="A8" s="12" t="str">
        <x:v>Area total proposta</x:v>
      </x:c>
      <x:c r="B8" s="12" t="n">
        <x:f>24*16</x:f>
        <x:v>384</x:v>
      </x:c>
      <x:c r="C8" s="12" t="str">
        <x:v>24 m * 16 m</x:v>
      </x:c>
    </x:row>
    <x:row r="9">
      <x:c r="A9" s="12" t="str">
        <x:v>Folga de area</x:v>
      </x:c>
      <x:c r="B9" s="12" t="n">
        <x:f>B8-B7</x:f>
        <x:v>123.59375</x:v>
      </x:c>
      <x:c r="C9" s="12" t="str">
        <x:v>area proposta - area requerida</x:v>
      </x:c>
    </x:row>
    <x:row r="10">
      <x:c r="A10" s="12" t="str">
        <x:v>Ocupacao</x:v>
      </x:c>
      <x:c r="B10" s="12" t="n">
        <x:f>B7/B8</x:f>
        <x:v>0.6781412760416666</x:v>
      </x:c>
      <x:c r="C10" s="12" t="str">
        <x:v>area requerida / area proposta</x:v>
      </x:c>
    </x:row>
    <x:row r="11">
      <x:c r="A11" t="str"/>
      <x:c r="B11" t="str"/>
      <x:c r="C11" t="str"/>
    </x:row>
    <x:row r="12">
      <x:c r="A12" s="8" t="str">
        <x:v>Areas fixas detalhadas</x:v>
      </x:c>
      <x:c r="B12" s="8" t="str">
        <x:v>m2</x:v>
      </x:c>
      <x:c r="C12" s="8" t="str">
        <x:v>Base</x:v>
      </x:c>
    </x:row>
    <x:row r="13">
      <x:c r="A13" s="12" t="str">
        <x:v>Estoque de materia-prima e embalagens</x:v>
      </x:c>
      <x:c r="B13" s="12" t="n">
        <x:v>30</x:v>
      </x:c>
      <x:c r="C13" s="12" t="str">
        <x:v>premissa: 5 dias de materiais, estantes, paletes e corredor de acesso</x:v>
      </x:c>
    </x:row>
    <x:row r="14">
      <x:c r="A14" s="12" t="str">
        <x:v>Estoque intermediario</x:v>
      </x:c>
      <x:c r="B14" s="12" t="n">
        <x:v>12</x:v>
      </x:c>
      <x:c r="C14" s="12" t="str">
        <x:v>premissa: pulmão entre setores metal, madeira e montagem</x:v>
      </x:c>
    </x:row>
    <x:row r="15">
      <x:c r="A15" s="12" t="str">
        <x:v>Estoque de produto acabado</x:v>
      </x:c>
      <x:c r="B15" s="12" t="n">
        <x:v>12</x:v>
      </x:c>
      <x:c r="C15" s="12" t="str">
        <x:v>max(12 m2; unidades de 3 dias * volume da embalagem / 1,2 m de empilhamento * fator 2)</x:v>
      </x:c>
    </x:row>
    <x:row r="16">
      <x:c r="A16" s="12" t="str">
        <x:v>Inspecao e controle de qualidade</x:v>
      </x:c>
      <x:c r="B16" s="12" t="n">
        <x:v>12</x:v>
      </x:c>
      <x:c r="C16" s="12" t="str">
        <x:v>premissa: bancada, instrumentos e area de retencao</x:v>
      </x:c>
    </x:row>
    <x:row r="17">
      <x:c r="A17" s="12" t="str">
        <x:v>Recebimento e expedicao</x:v>
      </x:c>
      <x:c r="B17" s="12" t="n">
        <x:v>24</x:v>
      </x:c>
      <x:c r="C17" s="12" t="str">
        <x:v>premissa: doca simples, conferencia e separacao</x:v>
      </x:c>
    </x:row>
    <x:row r="18">
      <x:c r="A18" s="12" t="str">
        <x:v>Apoio, manutencao, EPI e compressor</x:v>
      </x:c>
      <x:c r="B18" s="12" t="n">
        <x:v>20</x:v>
      </x:c>
      <x:c r="C18" s="12" t="str">
        <x:v>premissa de apoio operacional minimo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4" t="str">
        <x:v>Transparencia das contas e arquivos de origem</x:v>
      </x:c>
      <x:c r="B1" s="4"/>
      <x:c r="C1" s="4"/>
      <x:c r="D1" s="4"/>
      <x:c r="E1" s="4"/>
      <x:c r="F1" s="4"/>
      <x:c r="G1" s="4"/>
    </x:row>
    <x:row r="3">
      <x:c r="A3" s="8" t="str">
        <x:v>Tema</x:v>
      </x:c>
      <x:c r="B3" s="8" t="str">
        <x:v>Formula / regra</x:v>
      </x:c>
      <x:c r="C3" s="8" t="str">
        <x:v>Arquivo auditavel</x:v>
      </x:c>
    </x:row>
    <x:row r="4">
      <x:c r="A4" s="12" t="str">
        <x:v>Demanda bruta</x:v>
      </x:c>
      <x:c r="B4" s="12" t="str">
        <x:v>ceil(meta_boa / rendimento_final)</x:v>
      </x:c>
      <x:c r="C4" s="12" t="str">
        <x:v>scripts/generate_outputs.py; data/projeto.json</x:v>
      </x:c>
    </x:row>
    <x:row r="5">
      <x:c r="A5" s="12" t="str">
        <x:v>Capacidade por equipamento</x:v>
      </x:c>
      <x:c r="B5" s="12" t="str">
        <x:v>taxa_nominal * horas_uteis * eficiencia * confiabilidade * rendimento_processo</x:v>
      </x:c>
      <x:c r="C5" s="12" t="str">
        <x:v>scripts/generate_outputs.py</x:v>
      </x:c>
    </x:row>
    <x:row r="6">
      <x:c r="A6" s="12" t="str">
        <x:v>Quantidade de maquinas</x:v>
      </x:c>
      <x:c r="B6" s="12" t="str">
        <x:v>ceil(demanda_bruta / capacidade_semanal_por_maquina)</x:v>
      </x:c>
      <x:c r="C6" s="12" t="str">
        <x:v>scripts/generate_outputs.py; aba Capacidade</x:v>
      </x:c>
    </x:row>
    <x:row r="7">
      <x:c r="A7" s="12" t="str">
        <x:v>Consumo de materiais</x:v>
      </x:c>
      <x:c r="B7" s="12" t="str">
        <x:v>massa_liquida * fator_perda * demanda_bruta</x:v>
      </x:c>
      <x:c r="C7" s="12" t="str">
        <x:v>scripts/generate_outputs.py; aba Materiais</x:v>
      </x:c>
    </x:row>
    <x:row r="8">
      <x:c r="A8" s="12" t="str">
        <x:v>Area de equipamentos</x:v>
      </x:c>
      <x:c r="B8" s="12" t="str">
        <x:v>comprimento * largura * quantidade * fator_area_servico</x:v>
      </x:c>
      <x:c r="C8" s="12" t="str">
        <x:v>scripts/generate_outputs.py; aba Areas_Layout</x:v>
      </x:c>
    </x:row>
    <x:row r="9">
      <x:c r="A9" s="12" t="str">
        <x:v>Ponto fraco controlado</x:v>
      </x:c>
      <x:c r="B9" s="12" t="str">
        <x:v>Dados sem fonte viram premissa declarada; nao entram como fato de fabricante.</x:v>
      </x:c>
      <x:c r="C9" s="12" t="str">
        <x:v>05_base_tecnica/revisao_plano_e_pontos_fracos.md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4" t="str">
        <x:v>Objetivos do projeto</x:v>
      </x:c>
    </x:row>
    <x:row r="3">
      <x:c r="A3" s="8" t="str">
        <x:v>Objetivo</x:v>
      </x:c>
    </x:row>
    <x:row r="4">
      <x:c r="A4" s="12" t="str">
        <x:v>Desenvolver proposta básica de fábrica para o Kit para Churrasco Tramontina 3 Peças (ref. 22399036), com meta semanal de 1.000 kits bons.</x:v>
      </x:c>
    </x:row>
    <x:row r="5">
      <x:c r="A5" s="12" t="str">
        <x:v>Dimensionar processos, equipamentos e arranjo físico para integrar setor metálico, setor madeira, montagem e embalagem em fluxo contínuo.</x:v>
      </x:c>
    </x:row>
    <x:row r="6">
      <x:c r="A6" s="12" t="str">
        <x:v>Calcular quantidades de equipamentos com base em tempos-padrão estimados, eficiência, confiabilidade e rendimento de processo explicitados.</x:v>
      </x:c>
    </x:row>
    <x:row r="7">
      <x:c r="A7" s="12" t="str">
        <x:v>Selecionar segmentos de mercado visados e justificar a meta de produção proposta.</x:v>
      </x:c>
    </x:row>
    <x:row r="8">
      <x:c r="A8" s="12" t="str">
        <x:v>Gerar documentação técnica auditável — tabelas, fluxograma, mapofluxograma, layout esquemático e memória de cálculo — com todas as fontes identificadas.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s="4" t="str">
        <x:v>Segmentos de mercado</x:v>
      </x:c>
      <x:c r="B1" s="4"/>
      <x:c r="C1" s="4"/>
    </x:row>
    <x:row r="3">
      <x:c r="A3" s="8" t="str">
        <x:v>Segmento</x:v>
      </x:c>
      <x:c r="B3" s="8" t="str">
        <x:v>Descrição</x:v>
      </x:c>
      <x:c r="C3" s="8" t="str">
        <x:v>Justificativa</x:v>
      </x:c>
    </x:row>
    <x:row r="4">
      <x:c r="A4" s="12" t="str">
        <x:v>Varejo doméstico de churrasco</x:v>
      </x:c>
      <x:c r="B4" s="12" t="str">
        <x:v>Supermercados, lojas de utilidades domésticas, redes especializadas em artigos para churrasco e grill.</x:v>
      </x:c>
      <x:c r="C4" s="12" t="str">
        <x:v>O Brasil possui cultura de churrasco consolidada com consumo frequente em todas as regiões. O produto Tramontina tem reconhecimento nacional de qualidade, garantia de 5 anos e distribuição em redes de varejo de grande porte.</x:v>
      </x:c>
    </x:row>
    <x:row r="5">
      <x:c r="A5" s="12" t="str">
        <x:v>Kits presente e gift sets sazonais</x:v>
      </x:c>
      <x:c r="B5" s="12" t="str">
        <x:v>Embalagem blister/cartela posiciona o produto como presente premium em datas comemorativas.</x:v>
      </x:c>
      <x:c r="C5" s="12" t="str">
        <x:v>Dia dos Pais, Natal e Dia dos Namorados concentram picos de demanda por kits de churrasco. A embalagem compacta (1,23 kg, 38,9 cm de altura) facilita o transporte e o presenteamento.</x:v>
      </x:c>
    </x:row>
    <x:row r="6">
      <x:c r="A6" s="12" t="str">
        <x:v>E-commerce e marketplaces</x:v>
      </x:c>
      <x:c r="B6" s="12" t="str">
        <x:v>Venda direta em plataformas como Mercado Livre, Amazon Brasil, Shopee e site próprio Tramontina.</x:v>
      </x:c>
      <x:c r="C6" s="12" t="str">
        <x:v>As dimensões compactas da embalagem (38,9 × 4,0 × 21,6 cm, 1,23 kg) são favoráveis ao custo de frete e compatíveis com restrições de tamanho das plataformas. O produto já está disponível no e-commerce oficial da Tramontina.</x:v>
      </x:c>
    </x:row>
    <x:row r="7">
      <x:c r="A7" s="12" t="str">
        <x:v>Brindes corporativos e programas de fidelidade</x:v>
      </x:c>
      <x:c r="B7" s="12" t="str">
        <x:v>Empresas que oferecem brindes premium para clientes, colaboradores e ações de marketing.</x:v>
      </x:c>
      <x:c r="C7" s="12" t="str">
        <x:v>A certificação FSC C125626 da madeira e a marca Tramontina reforçam o apelo sustentável, relevante para empresas com compromissos ESG. O kit representa um brinde de alto valor percebido com custo unitário moderado.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s="4" t="str">
        <x:v>Conclusoes do projeto</x:v>
      </x:c>
      <x:c r="B1" s="4"/>
    </x:row>
    <x:row r="3">
      <x:c r="A3" s="8" t="str">
        <x:v>Tópico</x:v>
      </x:c>
      <x:c r="B3" s="8" t="str">
        <x:v>Conteúdo</x:v>
      </x:c>
    </x:row>
    <x:row r="4">
      <x:c r="A4" s="12" t="str">
        <x:v>Resumo</x:v>
      </x:c>
      <x:c r="B4" s="12" t="str">
        <x:v>O projeto propõe uma fábrica de 384 m² (24 m × 16 m) capaz de produzir 1.000 kits bons/semana (demanda bruta calculada de 1.053 kits/semana) em regime de 1 turno de 7 h úteis/dia, 5 dias/semana. A ocupação do espaço é de 67,8%, com área requerida estimada de 260,4 m².</x:v>
      </x:c>
    </x:row>
    <x:row r="5">
      <x:c r="A5" s="12" t="str">
        <x:v>Gargalo</x:v>
      </x:c>
      <x:c r="B5" s="12" t="str">
        <x:v>O gargalo identificado é o Router CNC (Maksiwa RTC.1313), com utilização de 65,4% para 2 unidades. A operação de fresagem do sulco da tábua e usinagem dos cabos tem o maior tempo-padrão estimado (120 s/kit). Para dobrar a capacidade sem alterar o prédio, seria necessário adicionar um terceiro turno ou uma terceira unidade do Router CNC.</x:v>
      </x:c>
    </x:row>
    <x:row r="6">
      <x:c r="A6" s="12" t="str">
        <x:v>Layout</x:v>
      </x:c>
      <x:c r="B6" s="12" t="str">
        <x:v>O arranjo físico proposto é misto: setores funcionais para metal e madeira (com equipamentos agrupados por processo) e fluxo em célula/linha para montagem e embalagem. A folga de 32,2% da área (123,6 m²) permite expansão futura sem reforma estrutural.</x:v>
      </x:c>
    </x:row>
    <x:row r="7">
      <x:c r="A7" s="12" t="str">
        <x:v>Melhoria 1</x:v>
      </x:c>
      <x:c r="B7" s="12" t="str">
        <x:v>Realizar estudo de tempos real (cronoanálise) no chão de fábrica para substituir os tempos-padrão estimados por valores medidos.</x:v>
      </x:c>
    </x:row>
    <x:row r="8">
      <x:c r="A8" s="12" t="str">
        <x:v>Melhoria 2</x:v>
      </x:c>
      <x:c r="B8" s="12" t="str">
        <x:v>Cotar equipamentos com pelo menos dois fornecedores alternativos para validar capacidades e dimensões antes de fechar o layout definitivo.</x:v>
      </x:c>
    </x:row>
    <x:row r="9">
      <x:c r="A9" s="12" t="str">
        <x:v>Melhoria 3</x:v>
      </x:c>
      <x:c r="B9" s="12" t="str">
        <x:v>Conduzir um piloto de produção de 1 semana para validar o rendimento final de 95% e as taxas de eficiência e confiabilidade assumidas.</x:v>
      </x:c>
    </x:row>
    <x:row r="10">
      <x:c r="A10" s="12" t="str">
        <x:v>Melhoria 4</x:v>
      </x:c>
      <x:c r="B10" s="12" t="str">
        <x:v>Avaliar implantação de Controle Estatístico de Processo (CEP) nas etapas críticas de tratamento térmico e afiação para reduzir variabilidade de qualidade.</x:v>
      </x:c>
    </x:row>
    <x:row r="11">
      <x:c r="A11" s="12" t="str">
        <x:v>Melhoria 5</x:v>
      </x:c>
      <x:c r="B11" s="12" t="str">
        <x:v>Modelar cenários de demanda (±30%) para dimensionar plano de capacidade de resposta sem ociosidade excessiva ou gargalos adicionais.</x:v>
      </x:c>
    </x:row>
    <x:row r="12">
      <x:c r="A12" s="12" t="str">
        <x:v>Melhoria 6</x:v>
      </x:c>
      <x:c r="B12" s="12" t="str">
        <x:v>Incluir análise de custo de implantação e payback como complemento ao projeto básico de fábrica.</x:v>
      </x:c>
    </x:row>
  </x:sheetData>
  <x:pageMargins left="0.7" right="0.7" top="0.75" bottom="0.75" header="0.3" footer="0.3"/>
</x:worksheet>
</file>